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AMP\htdocs\PixelDistrict\CumberlandAC\"/>
    </mc:Choice>
  </mc:AlternateContent>
  <xr:revisionPtr revIDLastSave="0" documentId="13_ncr:1_{1D22208A-C465-43DB-818F-83E694134136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Female" sheetId="16" r:id="rId1"/>
    <sheet name="Male" sheetId="15" r:id="rId2"/>
    <sheet name="Example" sheetId="17" r:id="rId3"/>
  </sheets>
  <functionGroups builtInGroupCount="19"/>
  <definedNames>
    <definedName name="Distances">Table1[dist(km)]</definedName>
    <definedName name="Event">Male!#REF!</definedName>
    <definedName name="mile">Male!#REF!</definedName>
  </definedNames>
  <calcPr calcId="191029" calcMode="autoNoTable" concurrentCalc="0"/>
</workbook>
</file>

<file path=xl/calcChain.xml><?xml version="1.0" encoding="utf-8"?>
<calcChain xmlns="http://schemas.openxmlformats.org/spreadsheetml/2006/main">
  <c r="CV30" i="15" l="1"/>
  <c r="CU30" i="15"/>
  <c r="CT30" i="15"/>
  <c r="CS30" i="15"/>
  <c r="CR30" i="15"/>
  <c r="CQ30" i="15"/>
  <c r="CP30" i="15"/>
  <c r="CO30" i="15"/>
  <c r="CN30" i="15"/>
  <c r="CM30" i="15"/>
  <c r="CL30" i="15"/>
  <c r="CK30" i="15"/>
  <c r="CJ30" i="15"/>
  <c r="CI30" i="15"/>
  <c r="CH30" i="15"/>
  <c r="CG30" i="15"/>
  <c r="CF30" i="15"/>
  <c r="CE30" i="15"/>
  <c r="CD30" i="15"/>
  <c r="CC30" i="15"/>
  <c r="CB30" i="15"/>
  <c r="CA30" i="15"/>
  <c r="BZ30" i="15"/>
  <c r="BY30" i="15"/>
  <c r="BX30" i="15"/>
  <c r="BW30" i="15"/>
  <c r="BV30" i="15"/>
  <c r="BU30" i="15"/>
  <c r="BT30" i="15"/>
  <c r="BS30" i="15"/>
  <c r="BR30" i="15"/>
  <c r="BQ30" i="15"/>
  <c r="BP30" i="15"/>
  <c r="BO30" i="15"/>
  <c r="BN30" i="15"/>
  <c r="BM30" i="15"/>
  <c r="BL30" i="15"/>
  <c r="BK30" i="15"/>
  <c r="BJ30" i="15"/>
  <c r="BI30" i="15"/>
  <c r="BH30" i="15"/>
  <c r="BG30" i="15"/>
  <c r="BF30" i="15"/>
  <c r="BE30" i="15"/>
  <c r="BD30" i="15"/>
  <c r="BC30" i="15"/>
  <c r="BB30" i="15"/>
  <c r="BA30" i="15"/>
  <c r="AZ30" i="15"/>
  <c r="AY30" i="15"/>
  <c r="AX30" i="15"/>
  <c r="AW30" i="15"/>
  <c r="AV30" i="15"/>
  <c r="AU30" i="15"/>
  <c r="AT30" i="15"/>
  <c r="AS30" i="15"/>
  <c r="AR30" i="15"/>
  <c r="AQ30" i="15"/>
  <c r="AP30" i="15"/>
  <c r="AO30" i="15"/>
  <c r="AN30" i="15"/>
  <c r="AM30" i="15"/>
  <c r="AL30" i="15"/>
  <c r="AK30" i="15"/>
  <c r="AJ30" i="15"/>
  <c r="AI30" i="15"/>
  <c r="AH30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CV29" i="15"/>
  <c r="CU29" i="15"/>
  <c r="CT29" i="15"/>
  <c r="CS29" i="15"/>
  <c r="CR29" i="15"/>
  <c r="CQ29" i="15"/>
  <c r="CP29" i="15"/>
  <c r="CO29" i="15"/>
  <c r="CN29" i="15"/>
  <c r="CM29" i="15"/>
  <c r="CL29" i="15"/>
  <c r="CK29" i="15"/>
  <c r="CJ29" i="15"/>
  <c r="CI29" i="15"/>
  <c r="CH29" i="15"/>
  <c r="CG29" i="15"/>
  <c r="CF29" i="15"/>
  <c r="CE29" i="15"/>
  <c r="CD29" i="15"/>
  <c r="CC29" i="15"/>
  <c r="CB29" i="15"/>
  <c r="CA29" i="15"/>
  <c r="BZ29" i="15"/>
  <c r="BY29" i="15"/>
  <c r="BX29" i="15"/>
  <c r="BW29" i="15"/>
  <c r="BV29" i="15"/>
  <c r="BU29" i="15"/>
  <c r="BT29" i="15"/>
  <c r="BS29" i="15"/>
  <c r="BR29" i="15"/>
  <c r="BQ29" i="15"/>
  <c r="BP29" i="15"/>
  <c r="BO29" i="15"/>
  <c r="BN29" i="15"/>
  <c r="BM29" i="15"/>
  <c r="BL29" i="15"/>
  <c r="BK29" i="15"/>
  <c r="BJ29" i="15"/>
  <c r="BI29" i="15"/>
  <c r="BH29" i="15"/>
  <c r="BG29" i="15"/>
  <c r="BF29" i="15"/>
  <c r="BE29" i="15"/>
  <c r="BD29" i="15"/>
  <c r="BC29" i="15"/>
  <c r="BB29" i="15"/>
  <c r="BA29" i="15"/>
  <c r="AZ29" i="15"/>
  <c r="AY29" i="15"/>
  <c r="AX29" i="15"/>
  <c r="AW29" i="15"/>
  <c r="AV29" i="15"/>
  <c r="AU29" i="15"/>
  <c r="AT29" i="15"/>
  <c r="AS29" i="15"/>
  <c r="AR29" i="15"/>
  <c r="AQ29" i="15"/>
  <c r="AP29" i="15"/>
  <c r="AO29" i="15"/>
  <c r="AN29" i="15"/>
  <c r="AM29" i="15"/>
  <c r="AL29" i="15"/>
  <c r="AK29" i="15"/>
  <c r="AJ29" i="15"/>
  <c r="AI29" i="15"/>
  <c r="AH29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U29" i="15"/>
  <c r="T29" i="15"/>
  <c r="S29" i="15"/>
  <c r="R29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D28" i="15"/>
  <c r="CV28" i="15"/>
  <c r="CU28" i="15"/>
  <c r="CT28" i="15"/>
  <c r="CS28" i="15"/>
  <c r="CR28" i="15"/>
  <c r="CQ28" i="15"/>
  <c r="CP28" i="15"/>
  <c r="CO28" i="15"/>
  <c r="CN28" i="15"/>
  <c r="CM28" i="15"/>
  <c r="CL28" i="15"/>
  <c r="CK28" i="15"/>
  <c r="CJ28" i="15"/>
  <c r="CI28" i="15"/>
  <c r="CH28" i="15"/>
  <c r="CG28" i="15"/>
  <c r="CF28" i="15"/>
  <c r="CE28" i="15"/>
  <c r="CD28" i="15"/>
  <c r="CC28" i="15"/>
  <c r="CB28" i="15"/>
  <c r="CA28" i="15"/>
  <c r="BZ28" i="15"/>
  <c r="BY28" i="15"/>
  <c r="BX28" i="15"/>
  <c r="BW28" i="15"/>
  <c r="BV28" i="15"/>
  <c r="BU28" i="15"/>
  <c r="BT28" i="15"/>
  <c r="BS28" i="15"/>
  <c r="BR28" i="15"/>
  <c r="BQ28" i="15"/>
  <c r="BP28" i="15"/>
  <c r="BO28" i="15"/>
  <c r="BN28" i="15"/>
  <c r="BM28" i="15"/>
  <c r="BL28" i="15"/>
  <c r="BK28" i="15"/>
  <c r="BJ28" i="15"/>
  <c r="BI28" i="15"/>
  <c r="BH28" i="15"/>
  <c r="BG28" i="15"/>
  <c r="BF28" i="15"/>
  <c r="BE28" i="15"/>
  <c r="BD28" i="15"/>
  <c r="BC28" i="15"/>
  <c r="BB28" i="15"/>
  <c r="BA28" i="15"/>
  <c r="AZ28" i="15"/>
  <c r="AY28" i="15"/>
  <c r="AX28" i="15"/>
  <c r="AW28" i="15"/>
  <c r="AV28" i="15"/>
  <c r="AU28" i="15"/>
  <c r="AT28" i="15"/>
  <c r="AS28" i="15"/>
  <c r="AR28" i="15"/>
  <c r="AQ28" i="15"/>
  <c r="AP28" i="15"/>
  <c r="AO28" i="15"/>
  <c r="AN28" i="15"/>
  <c r="AM28" i="15"/>
  <c r="AL28" i="15"/>
  <c r="AK28" i="15"/>
  <c r="AJ28" i="15"/>
  <c r="AI28" i="15"/>
  <c r="AH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U28" i="15"/>
  <c r="T28" i="15"/>
  <c r="S28" i="15"/>
  <c r="R28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CV27" i="15"/>
  <c r="CU27" i="15"/>
  <c r="CT27" i="15"/>
  <c r="CS27" i="15"/>
  <c r="CR27" i="15"/>
  <c r="CQ27" i="15"/>
  <c r="CP27" i="15"/>
  <c r="CO27" i="15"/>
  <c r="CN27" i="15"/>
  <c r="CM27" i="15"/>
  <c r="CL27" i="15"/>
  <c r="CK27" i="15"/>
  <c r="CJ27" i="15"/>
  <c r="CI27" i="15"/>
  <c r="CH27" i="15"/>
  <c r="CG27" i="15"/>
  <c r="CF27" i="15"/>
  <c r="CE27" i="15"/>
  <c r="CD27" i="15"/>
  <c r="CC27" i="15"/>
  <c r="CB27" i="15"/>
  <c r="CA27" i="15"/>
  <c r="BZ27" i="15"/>
  <c r="BY27" i="15"/>
  <c r="BX27" i="15"/>
  <c r="BW27" i="15"/>
  <c r="BV27" i="15"/>
  <c r="BU27" i="15"/>
  <c r="BT27" i="15"/>
  <c r="BS27" i="15"/>
  <c r="BR27" i="15"/>
  <c r="BQ27" i="15"/>
  <c r="BP27" i="15"/>
  <c r="BO27" i="15"/>
  <c r="BN27" i="15"/>
  <c r="BM27" i="15"/>
  <c r="BL27" i="15"/>
  <c r="BK27" i="15"/>
  <c r="BJ27" i="15"/>
  <c r="BI27" i="15"/>
  <c r="BH27" i="15"/>
  <c r="BG27" i="15"/>
  <c r="BF27" i="15"/>
  <c r="BE27" i="15"/>
  <c r="BD27" i="15"/>
  <c r="BC27" i="15"/>
  <c r="BB27" i="15"/>
  <c r="BA27" i="15"/>
  <c r="AZ27" i="15"/>
  <c r="AY27" i="15"/>
  <c r="AX27" i="15"/>
  <c r="AW27" i="15"/>
  <c r="AV27" i="15"/>
  <c r="AU27" i="15"/>
  <c r="AT27" i="15"/>
  <c r="AS27" i="15"/>
  <c r="AR27" i="15"/>
  <c r="AQ27" i="15"/>
  <c r="AP27" i="15"/>
  <c r="AO27" i="15"/>
  <c r="AN27" i="15"/>
  <c r="AM27" i="15"/>
  <c r="AL27" i="15"/>
  <c r="AK27" i="15"/>
  <c r="AJ27" i="15"/>
  <c r="AI27" i="15"/>
  <c r="AH27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F29" i="16"/>
  <c r="F30" i="16"/>
  <c r="C29" i="16"/>
  <c r="C30" i="16"/>
  <c r="D28" i="16"/>
  <c r="F28" i="16"/>
  <c r="F27" i="16"/>
  <c r="G29" i="16"/>
  <c r="G30" i="16"/>
  <c r="G28" i="16"/>
  <c r="G27" i="16"/>
  <c r="H29" i="16"/>
  <c r="H30" i="16"/>
  <c r="H28" i="16"/>
  <c r="H27" i="16"/>
  <c r="I29" i="16"/>
  <c r="I30" i="16"/>
  <c r="I28" i="16"/>
  <c r="I27" i="16"/>
  <c r="J29" i="16"/>
  <c r="J30" i="16"/>
  <c r="J28" i="16"/>
  <c r="J27" i="16"/>
  <c r="K29" i="16"/>
  <c r="K30" i="16"/>
  <c r="K28" i="16"/>
  <c r="K27" i="16"/>
  <c r="L29" i="16"/>
  <c r="L30" i="16"/>
  <c r="L28" i="16"/>
  <c r="L27" i="16"/>
  <c r="M29" i="16"/>
  <c r="M30" i="16"/>
  <c r="M28" i="16"/>
  <c r="M27" i="16"/>
  <c r="N29" i="16"/>
  <c r="N30" i="16"/>
  <c r="N28" i="16"/>
  <c r="N27" i="16"/>
  <c r="O29" i="16"/>
  <c r="O30" i="16"/>
  <c r="O28" i="16"/>
  <c r="O27" i="16"/>
  <c r="P29" i="16"/>
  <c r="P30" i="16"/>
  <c r="P28" i="16"/>
  <c r="P27" i="16"/>
  <c r="Q29" i="16"/>
  <c r="Q30" i="16"/>
  <c r="Q28" i="16"/>
  <c r="Q27" i="16"/>
  <c r="R29" i="16"/>
  <c r="R30" i="16"/>
  <c r="R28" i="16"/>
  <c r="R27" i="16"/>
  <c r="S29" i="16"/>
  <c r="S30" i="16"/>
  <c r="S28" i="16"/>
  <c r="S27" i="16"/>
  <c r="T29" i="16"/>
  <c r="T30" i="16"/>
  <c r="T28" i="16"/>
  <c r="T27" i="16"/>
  <c r="U29" i="16"/>
  <c r="U30" i="16"/>
  <c r="U28" i="16"/>
  <c r="U27" i="16"/>
  <c r="V29" i="16"/>
  <c r="V30" i="16"/>
  <c r="V28" i="16"/>
  <c r="V27" i="16"/>
  <c r="W29" i="16"/>
  <c r="W30" i="16"/>
  <c r="W28" i="16"/>
  <c r="W27" i="16"/>
  <c r="X29" i="16"/>
  <c r="X30" i="16"/>
  <c r="X28" i="16"/>
  <c r="X27" i="16"/>
  <c r="Y29" i="16"/>
  <c r="Y30" i="16"/>
  <c r="Y28" i="16"/>
  <c r="Y27" i="16"/>
  <c r="Z29" i="16"/>
  <c r="Z30" i="16"/>
  <c r="Z28" i="16"/>
  <c r="Z27" i="16"/>
  <c r="AA29" i="16"/>
  <c r="AA30" i="16"/>
  <c r="AA28" i="16"/>
  <c r="AA27" i="16"/>
  <c r="AB29" i="16"/>
  <c r="AB30" i="16"/>
  <c r="AB28" i="16"/>
  <c r="AB27" i="16"/>
  <c r="AC29" i="16"/>
  <c r="AC30" i="16"/>
  <c r="AC28" i="16"/>
  <c r="AC27" i="16"/>
  <c r="AD29" i="16"/>
  <c r="AD30" i="16"/>
  <c r="AD28" i="16"/>
  <c r="AD27" i="16"/>
  <c r="AE29" i="16"/>
  <c r="AE30" i="16"/>
  <c r="AE28" i="16"/>
  <c r="AE27" i="16"/>
  <c r="AF29" i="16"/>
  <c r="AF30" i="16"/>
  <c r="AF28" i="16"/>
  <c r="AF27" i="16"/>
  <c r="AG29" i="16"/>
  <c r="AG30" i="16"/>
  <c r="AG28" i="16"/>
  <c r="AG27" i="16"/>
  <c r="AH29" i="16"/>
  <c r="AH30" i="16"/>
  <c r="AH28" i="16"/>
  <c r="AH27" i="16"/>
  <c r="AI29" i="16"/>
  <c r="AI30" i="16"/>
  <c r="AI28" i="16"/>
  <c r="AI27" i="16"/>
  <c r="AJ29" i="16"/>
  <c r="AJ30" i="16"/>
  <c r="AJ28" i="16"/>
  <c r="AJ27" i="16"/>
  <c r="AK29" i="16"/>
  <c r="AK30" i="16"/>
  <c r="AK28" i="16"/>
  <c r="AK27" i="16"/>
  <c r="AL29" i="16"/>
  <c r="AL30" i="16"/>
  <c r="AL28" i="16"/>
  <c r="AL27" i="16"/>
  <c r="AM29" i="16"/>
  <c r="AM30" i="16"/>
  <c r="AM28" i="16"/>
  <c r="AM27" i="16"/>
  <c r="AN29" i="16"/>
  <c r="AN30" i="16"/>
  <c r="AN28" i="16"/>
  <c r="AN27" i="16"/>
  <c r="AO29" i="16"/>
  <c r="AO30" i="16"/>
  <c r="AO28" i="16"/>
  <c r="AO27" i="16"/>
  <c r="AP29" i="16"/>
  <c r="AP30" i="16"/>
  <c r="AP28" i="16"/>
  <c r="AP27" i="16"/>
  <c r="AQ29" i="16"/>
  <c r="AQ30" i="16"/>
  <c r="AQ28" i="16"/>
  <c r="AQ27" i="16"/>
  <c r="AR29" i="16"/>
  <c r="AR30" i="16"/>
  <c r="AR28" i="16"/>
  <c r="AR27" i="16"/>
  <c r="AS29" i="16"/>
  <c r="AS30" i="16"/>
  <c r="AS28" i="16"/>
  <c r="AS27" i="16"/>
  <c r="AT29" i="16"/>
  <c r="AT30" i="16"/>
  <c r="AT28" i="16"/>
  <c r="AT27" i="16"/>
  <c r="AU29" i="16"/>
  <c r="AU30" i="16"/>
  <c r="AU28" i="16"/>
  <c r="AU27" i="16"/>
  <c r="AV29" i="16"/>
  <c r="AV30" i="16"/>
  <c r="AV28" i="16"/>
  <c r="AV27" i="16"/>
  <c r="AW29" i="16"/>
  <c r="AW30" i="16"/>
  <c r="AW28" i="16"/>
  <c r="AW27" i="16"/>
  <c r="AX29" i="16"/>
  <c r="AX30" i="16"/>
  <c r="AX28" i="16"/>
  <c r="AX27" i="16"/>
  <c r="AY29" i="16"/>
  <c r="AY30" i="16"/>
  <c r="AY28" i="16"/>
  <c r="AY27" i="16"/>
  <c r="AZ29" i="16"/>
  <c r="AZ30" i="16"/>
  <c r="AZ28" i="16"/>
  <c r="AZ27" i="16"/>
  <c r="BA29" i="16"/>
  <c r="BA30" i="16"/>
  <c r="BA28" i="16"/>
  <c r="BA27" i="16"/>
  <c r="BB29" i="16"/>
  <c r="BB30" i="16"/>
  <c r="BB28" i="16"/>
  <c r="BB27" i="16"/>
  <c r="BC29" i="16"/>
  <c r="BC30" i="16"/>
  <c r="BC28" i="16"/>
  <c r="BC27" i="16"/>
  <c r="BD29" i="16"/>
  <c r="BD30" i="16"/>
  <c r="BD28" i="16"/>
  <c r="BD27" i="16"/>
  <c r="BE29" i="16"/>
  <c r="BE30" i="16"/>
  <c r="BE28" i="16"/>
  <c r="BE27" i="16"/>
  <c r="BF29" i="16"/>
  <c r="BF30" i="16"/>
  <c r="BF28" i="16"/>
  <c r="BF27" i="16"/>
  <c r="BG29" i="16"/>
  <c r="BG30" i="16"/>
  <c r="BG28" i="16"/>
  <c r="BG27" i="16"/>
  <c r="BH29" i="16"/>
  <c r="BH30" i="16"/>
  <c r="BH28" i="16"/>
  <c r="BH27" i="16"/>
  <c r="BI29" i="16"/>
  <c r="BI30" i="16"/>
  <c r="BI28" i="16"/>
  <c r="BI27" i="16"/>
  <c r="BJ29" i="16"/>
  <c r="BJ30" i="16"/>
  <c r="BJ28" i="16"/>
  <c r="BJ27" i="16"/>
  <c r="BK29" i="16"/>
  <c r="BK30" i="16"/>
  <c r="BK28" i="16"/>
  <c r="BK27" i="16"/>
  <c r="BL29" i="16"/>
  <c r="BL30" i="16"/>
  <c r="BL28" i="16"/>
  <c r="BL27" i="16"/>
  <c r="BM29" i="16"/>
  <c r="BM30" i="16"/>
  <c r="BM28" i="16"/>
  <c r="BM27" i="16"/>
  <c r="BN29" i="16"/>
  <c r="BN30" i="16"/>
  <c r="BN28" i="16"/>
  <c r="BN27" i="16"/>
  <c r="BO29" i="16"/>
  <c r="BO30" i="16"/>
  <c r="BO28" i="16"/>
  <c r="BO27" i="16"/>
  <c r="BP29" i="16"/>
  <c r="BP30" i="16"/>
  <c r="BP28" i="16"/>
  <c r="BP27" i="16"/>
  <c r="BQ29" i="16"/>
  <c r="BQ30" i="16"/>
  <c r="BQ28" i="16"/>
  <c r="BQ27" i="16"/>
  <c r="BR29" i="16"/>
  <c r="BR30" i="16"/>
  <c r="BR28" i="16"/>
  <c r="BR27" i="16"/>
  <c r="BS29" i="16"/>
  <c r="BS30" i="16"/>
  <c r="BS28" i="16"/>
  <c r="BS27" i="16"/>
  <c r="BT29" i="16"/>
  <c r="BT30" i="16"/>
  <c r="BT28" i="16"/>
  <c r="BT27" i="16"/>
  <c r="BU29" i="16"/>
  <c r="BU30" i="16"/>
  <c r="BU28" i="16"/>
  <c r="BU27" i="16"/>
  <c r="BV29" i="16"/>
  <c r="BV30" i="16"/>
  <c r="BV28" i="16"/>
  <c r="BV27" i="16"/>
  <c r="BW29" i="16"/>
  <c r="BW30" i="16"/>
  <c r="BW28" i="16"/>
  <c r="BW27" i="16"/>
  <c r="BX29" i="16"/>
  <c r="BX30" i="16"/>
  <c r="BX28" i="16"/>
  <c r="BX27" i="16"/>
  <c r="BY29" i="16"/>
  <c r="BY30" i="16"/>
  <c r="BY28" i="16"/>
  <c r="BY27" i="16"/>
  <c r="BZ29" i="16"/>
  <c r="BZ30" i="16"/>
  <c r="BZ28" i="16"/>
  <c r="BZ27" i="16"/>
  <c r="CA29" i="16"/>
  <c r="CA30" i="16"/>
  <c r="CA28" i="16"/>
  <c r="CA27" i="16"/>
  <c r="CB29" i="16"/>
  <c r="CB30" i="16"/>
  <c r="CB28" i="16"/>
  <c r="CB27" i="16"/>
  <c r="CC29" i="16"/>
  <c r="CC30" i="16"/>
  <c r="CC28" i="16"/>
  <c r="CC27" i="16"/>
  <c r="CD29" i="16"/>
  <c r="CD30" i="16"/>
  <c r="CD28" i="16"/>
  <c r="CD27" i="16"/>
  <c r="CE29" i="16"/>
  <c r="CE30" i="16"/>
  <c r="CE28" i="16"/>
  <c r="CE27" i="16"/>
  <c r="CF29" i="16"/>
  <c r="CF30" i="16"/>
  <c r="CF28" i="16"/>
  <c r="CF27" i="16"/>
  <c r="CG29" i="16"/>
  <c r="CG30" i="16"/>
  <c r="CG28" i="16"/>
  <c r="CG27" i="16"/>
  <c r="CH29" i="16"/>
  <c r="CH30" i="16"/>
  <c r="CH28" i="16"/>
  <c r="CH27" i="16"/>
  <c r="CI29" i="16"/>
  <c r="CI30" i="16"/>
  <c r="CI28" i="16"/>
  <c r="CI27" i="16"/>
  <c r="CJ29" i="16"/>
  <c r="CJ30" i="16"/>
  <c r="CJ28" i="16"/>
  <c r="CJ27" i="16"/>
  <c r="CK29" i="16"/>
  <c r="CK30" i="16"/>
  <c r="CK28" i="16"/>
  <c r="CK27" i="16"/>
  <c r="CL29" i="16"/>
  <c r="CL30" i="16"/>
  <c r="CL28" i="16"/>
  <c r="CL27" i="16"/>
  <c r="CM29" i="16"/>
  <c r="CM30" i="16"/>
  <c r="CM28" i="16"/>
  <c r="CM27" i="16"/>
  <c r="CN29" i="16"/>
  <c r="CN30" i="16"/>
  <c r="CN28" i="16"/>
  <c r="CN27" i="16"/>
  <c r="CO29" i="16"/>
  <c r="CO30" i="16"/>
  <c r="CO28" i="16"/>
  <c r="CO27" i="16"/>
  <c r="CP29" i="16"/>
  <c r="CP30" i="16"/>
  <c r="CP28" i="16"/>
  <c r="CP27" i="16"/>
  <c r="CQ29" i="16"/>
  <c r="CQ30" i="16"/>
  <c r="CQ28" i="16"/>
  <c r="CQ27" i="16"/>
  <c r="CR29" i="16"/>
  <c r="CR30" i="16"/>
  <c r="CR28" i="16"/>
  <c r="CR27" i="16"/>
  <c r="CS29" i="16"/>
  <c r="CS30" i="16"/>
  <c r="CS28" i="16"/>
  <c r="CS27" i="16"/>
  <c r="CT29" i="16"/>
  <c r="CT30" i="16"/>
  <c r="CT28" i="16"/>
  <c r="CT27" i="16"/>
  <c r="CU29" i="16"/>
  <c r="CU30" i="16"/>
  <c r="CU28" i="16"/>
  <c r="CU27" i="16"/>
  <c r="CV29" i="16"/>
  <c r="CV30" i="16"/>
  <c r="CV28" i="16"/>
  <c r="CV27" i="16"/>
  <c r="E30" i="16"/>
  <c r="E29" i="16"/>
  <c r="E28" i="16"/>
  <c r="E27" i="16"/>
  <c r="D29" i="16"/>
  <c r="D27" i="16"/>
  <c r="D30" i="16"/>
  <c r="C3" i="17"/>
  <c r="B13" i="17"/>
  <c r="B12" i="17"/>
  <c r="B11" i="17"/>
  <c r="B10" i="17"/>
  <c r="B6" i="17"/>
  <c r="B5" i="17"/>
</calcChain>
</file>

<file path=xl/sharedStrings.xml><?xml version="1.0" encoding="utf-8"?>
<sst xmlns="http://schemas.openxmlformats.org/spreadsheetml/2006/main" count="4535" uniqueCount="4213">
  <si>
    <t>M5kmRoad</t>
  </si>
  <si>
    <t>M6kmRoad</t>
  </si>
  <si>
    <t>M4MileRoad</t>
  </si>
  <si>
    <t>M8kmRoad</t>
  </si>
  <si>
    <t>M5MileRoad</t>
  </si>
  <si>
    <t>M10kmRoad</t>
  </si>
  <si>
    <t>M12km</t>
  </si>
  <si>
    <t>M15km</t>
  </si>
  <si>
    <t>M10Mile</t>
  </si>
  <si>
    <t>M20km</t>
  </si>
  <si>
    <t>M25km</t>
  </si>
  <si>
    <t>M30km</t>
  </si>
  <si>
    <t>MMarathon</t>
  </si>
  <si>
    <t>M50km</t>
  </si>
  <si>
    <t>M50Mile</t>
  </si>
  <si>
    <t>M100km</t>
  </si>
  <si>
    <t>M150km</t>
  </si>
  <si>
    <t>M100Mile</t>
  </si>
  <si>
    <t>M200km</t>
  </si>
  <si>
    <t>OC</t>
  </si>
  <si>
    <t>dist(km)</t>
  </si>
  <si>
    <t>Half.Mar</t>
  </si>
  <si>
    <t>Event</t>
  </si>
  <si>
    <t>age</t>
  </si>
  <si>
    <t>event</t>
  </si>
  <si>
    <t>open standard</t>
  </si>
  <si>
    <t>Example</t>
  </si>
  <si>
    <t>age-std-m/s</t>
  </si>
  <si>
    <t>4MileRoad</t>
  </si>
  <si>
    <t>5kmRoad</t>
  </si>
  <si>
    <t>6kmRoad</t>
  </si>
  <si>
    <t>8kmRoad</t>
  </si>
  <si>
    <t>5MileRoad</t>
  </si>
  <si>
    <t>10kmRoad</t>
  </si>
  <si>
    <t>12km</t>
  </si>
  <si>
    <t>15km</t>
  </si>
  <si>
    <t>10Mile</t>
  </si>
  <si>
    <t>20km</t>
  </si>
  <si>
    <t>25km</t>
  </si>
  <si>
    <t>30km</t>
  </si>
  <si>
    <t>Marathon</t>
  </si>
  <si>
    <t>50km</t>
  </si>
  <si>
    <t>50Mile</t>
  </si>
  <si>
    <t>100km</t>
  </si>
  <si>
    <t>150km</t>
  </si>
  <si>
    <t>100Mile</t>
  </si>
  <si>
    <t>200km</t>
  </si>
  <si>
    <t>%WR</t>
  </si>
  <si>
    <t>result</t>
  </si>
  <si>
    <t>MHalf.Mar</t>
  </si>
  <si>
    <t>F5kmRoad</t>
  </si>
  <si>
    <t>F6kmRoad</t>
  </si>
  <si>
    <t>F4MileRoad</t>
  </si>
  <si>
    <t>F8kmRoad</t>
  </si>
  <si>
    <t>F5MileRoad</t>
  </si>
  <si>
    <t>F10kmRoad</t>
  </si>
  <si>
    <t>F12km</t>
  </si>
  <si>
    <t>F15km</t>
  </si>
  <si>
    <t>F10Mile</t>
  </si>
  <si>
    <t>F20km</t>
  </si>
  <si>
    <t>FHalf.Mar</t>
  </si>
  <si>
    <t>F25km</t>
  </si>
  <si>
    <t>F30km</t>
  </si>
  <si>
    <t>FMarathon</t>
  </si>
  <si>
    <t>F50km</t>
  </si>
  <si>
    <t>F50Mile</t>
  </si>
  <si>
    <t>F100km</t>
  </si>
  <si>
    <t>F150km</t>
  </si>
  <si>
    <t>F100Mile</t>
  </si>
  <si>
    <t>F200km</t>
  </si>
  <si>
    <t>1MileRoad</t>
  </si>
  <si>
    <t>M1MileRoad</t>
  </si>
  <si>
    <t>F1MileRoad</t>
  </si>
  <si>
    <t>gender</t>
  </si>
  <si>
    <t>age factor</t>
  </si>
  <si>
    <t>Own calculator</t>
  </si>
  <si>
    <t>Calc'd OC</t>
  </si>
  <si>
    <t>Custom Dist (km)</t>
  </si>
  <si>
    <t>Nearest (lower)</t>
  </si>
  <si>
    <t>Nearest (upper)</t>
  </si>
  <si>
    <t>Factor</t>
  </si>
  <si>
    <t>EventID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</si>
  <si>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</si>
  <si>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</si>
  <si>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</si>
  <si>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</si>
  <si>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</si>
  <si>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</si>
  <si>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</si>
  <si>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</si>
  <si>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</si>
  <si>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</si>
  <si>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</si>
  <si>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</si>
  <si>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</si>
  <si>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</si>
  <si>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</si>
  <si>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</si>
  <si>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</si>
  <si>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</si>
  <si>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</si>
  <si>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</si>
  <si>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</si>
  <si>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</si>
  <si>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</si>
  <si>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</si>
  <si>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</si>
  <si>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</si>
  <si>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</si>
  <si>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</si>
  <si>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</si>
  <si>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</si>
  <si>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</si>
  <si>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</si>
  <si>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</si>
  <si>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</si>
  <si>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</si>
  <si>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</si>
  <si>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</si>
  <si>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</si>
  <si>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</si>
  <si>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</si>
  <si>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</si>
  <si>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</si>
  <si>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</si>
  <si>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</si>
  <si>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</si>
  <si>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</si>
  <si>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</si>
  <si>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</si>
  <si>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</si>
  <si>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</si>
  <si>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</si>
  <si>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</si>
  <si>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</si>
  <si>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</si>
  <si>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</si>
  <si>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</si>
  <si>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</si>
  <si>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</si>
  <si>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</si>
  <si>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</si>
  <si>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</si>
  <si>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</si>
  <si>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</si>
  <si>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</si>
  <si>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</si>
  <si>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</si>
  <si>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</si>
  <si>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</si>
  <si>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</si>
  <si>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</si>
  <si>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</si>
  <si>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</si>
  <si>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</si>
  <si>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</si>
  <si>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</si>
  <si>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</si>
  <si>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</si>
  <si>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</si>
  <si>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</si>
  <si>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</si>
  <si>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</si>
  <si>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</si>
  <si>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</si>
  <si>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</si>
  <si>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</si>
  <si>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</si>
  <si>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</si>
  <si>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</si>
  <si>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</si>
  <si>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</si>
  <si>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</si>
  <si>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</si>
  <si>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</si>
  <si>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</si>
  <si>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</si>
  <si>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</si>
  <si>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15Mile</t>
  </si>
  <si>
    <t>Instert Statements</t>
  </si>
  <si>
    <t>Insert Statements</t>
  </si>
  <si>
    <t>INSERT INTO tblWMA (WMADistance, WMARoad, WMAWRTime, WMASex, WMAAge, WMAFactor) VALUES (1.609, 1, 253, 'F', 5, 0.722);</t>
  </si>
  <si>
    <t>INSERT INTO tblWMA (WMADistance, WMARoad, WMAWRTime, WMASex, WMAAge, WMAFactor) VALUES (1.609, 1, 253, 'F', 6, 0.7513);</t>
  </si>
  <si>
    <t>INSERT INTO tblWMA (WMADistance, WMARoad, WMAWRTime, WMASex, WMAAge, WMAFactor) VALUES (1.609, 1, 253, 'F', 7, 0.7792);</t>
  </si>
  <si>
    <t>INSERT INTO tblWMA (WMADistance, WMARoad, WMAWRTime, WMASex, WMAAge, WMAFactor) VALUES (1.609, 1, 253, 'F', 8, 0.8057);</t>
  </si>
  <si>
    <t>INSERT INTO tblWMA (WMADistance, WMARoad, WMAWRTime, WMASex, WMAAge, WMAFactor) VALUES (1.609, 1, 253, 'F', 9, 0.8308);</t>
  </si>
  <si>
    <t>INSERT INTO tblWMA (WMADistance, WMARoad, WMAWRTime, WMASex, WMAAge, WMAFactor) VALUES (1.609, 1, 253, 'F', 10, 0.8545);</t>
  </si>
  <si>
    <t>INSERT INTO tblWMA (WMADistance, WMARoad, WMAWRTime, WMASex, WMAAge, WMAFactor) VALUES (1.609, 1, 253, 'F', 11, 0.8768);</t>
  </si>
  <si>
    <t>INSERT INTO tblWMA (WMADistance, WMARoad, WMAWRTime, WMASex, WMAAge, WMAFactor) VALUES (1.609, 1, 253, 'F', 12, 0.8977);</t>
  </si>
  <si>
    <t>INSERT INTO tblWMA (WMADistance, WMARoad, WMAWRTime, WMASex, WMAAge, WMAFactor) VALUES (1.609, 1, 253, 'F', 13, 0.9172);</t>
  </si>
  <si>
    <t>INSERT INTO tblWMA (WMADistance, WMARoad, WMAWRTime, WMASex, WMAAge, WMAFactor) VALUES (1.609, 1, 253, 'F', 14, 0.9353);</t>
  </si>
  <si>
    <t>INSERT INTO tblWMA (WMADistance, WMARoad, WMAWRTime, WMASex, WMAAge, WMAFactor) VALUES (1.609, 1, 253, 'F', 15, 0.952);</t>
  </si>
  <si>
    <t>INSERT INTO tblWMA (WMADistance, WMARoad, WMAWRTime, WMASex, WMAAge, WMAFactor) VALUES (1.609, 1, 253, 'F', 16, 0.968);</t>
  </si>
  <si>
    <t>INSERT INTO tblWMA (WMADistance, WMARoad, WMAWRTime, WMASex, WMAAge, WMAFactor) VALUES (1.609, 1, 253, 'F', 17, 0.984);</t>
  </si>
  <si>
    <t>INSERT INTO tblWMA (WMADistance, WMARoad, WMAWRTime, WMASex, WMAAge, WMAFactor) VALUES (1.609, 1, 253, 'F', 18, 0.996);</t>
  </si>
  <si>
    <t>INSERT INTO tblWMA (WMADistance, WMARoad, WMAWRTime, WMASex, WMAAge, WMAFactor) VALUES (1.609, 1, 253, 'F', 19, 1);</t>
  </si>
  <si>
    <t>INSERT INTO tblWMA (WMADistance, WMARoad, WMAWRTime, WMASex, WMAAge, WMAFactor) VALUES (1.609, 1, 253, 'F', 20, 1);</t>
  </si>
  <si>
    <t>INSERT INTO tblWMA (WMADistance, WMARoad, WMAWRTime, WMASex, WMAAge, WMAFactor) VALUES (1.609, 1, 253, 'F', 21, 1);</t>
  </si>
  <si>
    <t>INSERT INTO tblWMA (WMADistance, WMARoad, WMAWRTime, WMASex, WMAAge, WMAFactor) VALUES (1.609, 1, 253, 'F', 22, 1);</t>
  </si>
  <si>
    <t>INSERT INTO tblWMA (WMADistance, WMARoad, WMAWRTime, WMASex, WMAAge, WMAFactor) VALUES (1.609, 1, 253, 'F', 23, 1);</t>
  </si>
  <si>
    <t>INSERT INTO tblWMA (WMADistance, WMARoad, WMAWRTime, WMASex, WMAAge, WMAFactor) VALUES (1.609, 1, 253, 'F', 24, 1);</t>
  </si>
  <si>
    <t>INSERT INTO tblWMA (WMADistance, WMARoad, WMAWRTime, WMASex, WMAAge, WMAFactor) VALUES (1.609, 1, 253, 'F', 25, 1);</t>
  </si>
  <si>
    <t>INSERT INTO tblWMA (WMADistance, WMARoad, WMAWRTime, WMASex, WMAAge, WMAFactor) VALUES (1.609, 1, 253, 'F', 26, 1);</t>
  </si>
  <si>
    <t>INSERT INTO tblWMA (WMADistance, WMARoad, WMAWRTime, WMASex, WMAAge, WMAFactor) VALUES (1.609, 1, 253, 'F', 27, 1);</t>
  </si>
  <si>
    <t>INSERT INTO tblWMA (WMADistance, WMARoad, WMAWRTime, WMASex, WMAAge, WMAFactor) VALUES (1.609, 1, 253, 'F', 28, 1);</t>
  </si>
  <si>
    <t>INSERT INTO tblWMA (WMADistance, WMARoad, WMAWRTime, WMASex, WMAAge, WMAFactor) VALUES (1.609, 1, 253, 'F', 29, 1);</t>
  </si>
  <si>
    <t>INSERT INTO tblWMA (WMADistance, WMARoad, WMAWRTime, WMASex, WMAAge, WMAFactor) VALUES (1.609, 1, 253, 'F', 30, 1);</t>
  </si>
  <si>
    <t>INSERT INTO tblWMA (WMADistance, WMARoad, WMAWRTime, WMASex, WMAAge, WMAFactor) VALUES (1.609, 1, 253, 'F', 31, 0.9998);</t>
  </si>
  <si>
    <t>INSERT INTO tblWMA (WMADistance, WMARoad, WMAWRTime, WMASex, WMAAge, WMAFactor) VALUES (1.609, 1, 253, 'F', 32, 0.999);</t>
  </si>
  <si>
    <t>INSERT INTO tblWMA (WMADistance, WMARoad, WMAWRTime, WMASex, WMAAge, WMAFactor) VALUES (1.609, 1, 253, 'F', 33, 0.9977);</t>
  </si>
  <si>
    <t>INSERT INTO tblWMA (WMADistance, WMARoad, WMAWRTime, WMASex, WMAAge, WMAFactor) VALUES (1.609, 1, 253, 'F', 34, 0.9959);</t>
  </si>
  <si>
    <t>INSERT INTO tblWMA (WMADistance, WMARoad, WMAWRTime, WMASex, WMAAge, WMAFactor) VALUES (1.609, 1, 253, 'F', 35, 0.9935);</t>
  </si>
  <si>
    <t>INSERT INTO tblWMA (WMADistance, WMARoad, WMAWRTime, WMASex, WMAAge, WMAFactor) VALUES (1.609, 1, 253, 'F', 36, 0.9906);</t>
  </si>
  <si>
    <t>INSERT INTO tblWMA (WMADistance, WMARoad, WMAWRTime, WMASex, WMAAge, WMAFactor) VALUES (1.609, 1, 253, 'F', 37, 0.9871);</t>
  </si>
  <si>
    <t>INSERT INTO tblWMA (WMADistance, WMARoad, WMAWRTime, WMASex, WMAAge, WMAFactor) VALUES (1.609, 1, 253, 'F', 38, 0.9831);</t>
  </si>
  <si>
    <t>INSERT INTO tblWMA (WMADistance, WMARoad, WMAWRTime, WMASex, WMAAge, WMAFactor) VALUES (1.609, 1, 253, 'F', 39, 0.9785);</t>
  </si>
  <si>
    <t>INSERT INTO tblWMA (WMADistance, WMARoad, WMAWRTime, WMASex, WMAAge, WMAFactor) VALUES (1.609, 1, 253, 'F', 40, 0.9734);</t>
  </si>
  <si>
    <t>INSERT INTO tblWMA (WMADistance, WMARoad, WMAWRTime, WMASex, WMAAge, WMAFactor) VALUES (1.609, 1, 253, 'F', 41, 0.9678);</t>
  </si>
  <si>
    <t>INSERT INTO tblWMA (WMADistance, WMARoad, WMAWRTime, WMASex, WMAAge, WMAFactor) VALUES (1.609, 1, 253, 'F', 42, 0.9616);</t>
  </si>
  <si>
    <t>INSERT INTO tblWMA (WMADistance, WMARoad, WMAWRTime, WMASex, WMAAge, WMAFactor) VALUES (1.609, 1, 253, 'F', 43, 0.9549);</t>
  </si>
  <si>
    <t>INSERT INTO tblWMA (WMADistance, WMARoad, WMAWRTime, WMASex, WMAAge, WMAFactor) VALUES (1.609, 1, 253, 'F', 44, 0.9476);</t>
  </si>
  <si>
    <t>INSERT INTO tblWMA (WMADistance, WMARoad, WMAWRTime, WMASex, WMAAge, WMAFactor) VALUES (1.609, 1, 253, 'F', 45, 0.9398);</t>
  </si>
  <si>
    <t>INSERT INTO tblWMA (WMADistance, WMARoad, WMAWRTime, WMASex, WMAAge, WMAFactor) VALUES (1.609, 1, 253, 'F', 46, 0.9314);</t>
  </si>
  <si>
    <t>INSERT INTO tblWMA (WMADistance, WMARoad, WMAWRTime, WMASex, WMAAge, WMAFactor) VALUES (1.609, 1, 253, 'F', 47, 0.9225);</t>
  </si>
  <si>
    <t>INSERT INTO tblWMA (WMADistance, WMARoad, WMAWRTime, WMASex, WMAAge, WMAFactor) VALUES (1.609, 1, 253, 'F', 48, 0.9131);</t>
  </si>
  <si>
    <t>INSERT INTO tblWMA (WMADistance, WMARoad, WMAWRTime, WMASex, WMAAge, WMAFactor) VALUES (1.609, 1, 253, 'F', 49, 0.9034);</t>
  </si>
  <si>
    <t>INSERT INTO tblWMA (WMADistance, WMARoad, WMAWRTime, WMASex, WMAAge, WMAFactor) VALUES (1.609, 1, 253, 'F', 50, 0.8937);</t>
  </si>
  <si>
    <t>INSERT INTO tblWMA (WMADistance, WMARoad, WMAWRTime, WMASex, WMAAge, WMAFactor) VALUES (1.609, 1, 253, 'F', 51, 0.884);</t>
  </si>
  <si>
    <t>INSERT INTO tblWMA (WMADistance, WMARoad, WMAWRTime, WMASex, WMAAge, WMAFactor) VALUES (1.609, 1, 253, 'F', 52, 0.8743);</t>
  </si>
  <si>
    <t>INSERT INTO tblWMA (WMADistance, WMARoad, WMAWRTime, WMASex, WMAAge, WMAFactor) VALUES (1.609, 1, 253, 'F', 53, 0.8645);</t>
  </si>
  <si>
    <t>INSERT INTO tblWMA (WMADistance, WMARoad, WMAWRTime, WMASex, WMAAge, WMAFactor) VALUES (1.609, 1, 253, 'F', 54, 0.8548);</t>
  </si>
  <si>
    <t>INSERT INTO tblWMA (WMADistance, WMARoad, WMAWRTime, WMASex, WMAAge, WMAFactor) VALUES (1.609, 1, 253, 'F', 55, 0.8451);</t>
  </si>
  <si>
    <t>INSERT INTO tblWMA (WMADistance, WMARoad, WMAWRTime, WMASex, WMAAge, WMAFactor) VALUES (1.609, 1, 253, 'F', 56, 0.8354);</t>
  </si>
  <si>
    <t>INSERT INTO tblWMA (WMADistance, WMARoad, WMAWRTime, WMASex, WMAAge, WMAFactor) VALUES (1.609, 1, 253, 'F', 57, 0.8257);</t>
  </si>
  <si>
    <t>INSERT INTO tblWMA (WMADistance, WMARoad, WMAWRTime, WMASex, WMAAge, WMAFactor) VALUES (1.609, 1, 253, 'F', 58, 0.816);</t>
  </si>
  <si>
    <t>INSERT INTO tblWMA (WMADistance, WMARoad, WMAWRTime, WMASex, WMAAge, WMAFactor) VALUES (1.609, 1, 253, 'F', 59, 0.8063);</t>
  </si>
  <si>
    <t>INSERT INTO tblWMA (WMADistance, WMARoad, WMAWRTime, WMASex, WMAAge, WMAFactor) VALUES (1.609, 1, 253, 'F', 60, 0.7966);</t>
  </si>
  <si>
    <t>INSERT INTO tblWMA (WMADistance, WMARoad, WMAWRTime, WMASex, WMAAge, WMAFactor) VALUES (1.609, 1, 253, 'F', 61, 0.7869);</t>
  </si>
  <si>
    <t>INSERT INTO tblWMA (WMADistance, WMARoad, WMAWRTime, WMASex, WMAAge, WMAFactor) VALUES (1.609, 1, 253, 'F', 62, 0.7772);</t>
  </si>
  <si>
    <t>INSERT INTO tblWMA (WMADistance, WMARoad, WMAWRTime, WMASex, WMAAge, WMAFactor) VALUES (1.609, 1, 253, 'F', 63, 0.7674);</t>
  </si>
  <si>
    <t>INSERT INTO tblWMA (WMADistance, WMARoad, WMAWRTime, WMASex, WMAAge, WMAFactor) VALUES (1.609, 1, 253, 'F', 64, 0.7577);</t>
  </si>
  <si>
    <t>INSERT INTO tblWMA (WMADistance, WMARoad, WMAWRTime, WMASex, WMAAge, WMAFactor) VALUES (1.609, 1, 253, 'F', 65, 0.748);</t>
  </si>
  <si>
    <t>INSERT INTO tblWMA (WMADistance, WMARoad, WMAWRTime, WMASex, WMAAge, WMAFactor) VALUES (1.609, 1, 253, 'F', 66, 0.7383);</t>
  </si>
  <si>
    <t>INSERT INTO tblWMA (WMADistance, WMARoad, WMAWRTime, WMASex, WMAAge, WMAFactor) VALUES (1.609, 1, 253, 'F', 67, 0.7286);</t>
  </si>
  <si>
    <t>INSERT INTO tblWMA (WMADistance, WMARoad, WMAWRTime, WMASex, WMAAge, WMAFactor) VALUES (1.609, 1, 253, 'F', 68, 0.7189);</t>
  </si>
  <si>
    <t>INSERT INTO tblWMA (WMADistance, WMARoad, WMAWRTime, WMASex, WMAAge, WMAFactor) VALUES (1.609, 1, 253, 'F', 69, 0.7092);</t>
  </si>
  <si>
    <t>INSERT INTO tblWMA (WMADistance, WMARoad, WMAWRTime, WMASex, WMAAge, WMAFactor) VALUES (1.609, 1, 253, 'F', 70, 0.6995);</t>
  </si>
  <si>
    <t>INSERT INTO tblWMA (WMADistance, WMARoad, WMAWRTime, WMASex, WMAAge, WMAFactor) VALUES (1.609, 1, 253, 'F', 71, 0.6898);</t>
  </si>
  <si>
    <t>INSERT INTO tblWMA (WMADistance, WMARoad, WMAWRTime, WMASex, WMAAge, WMAFactor) VALUES (1.609, 1, 253, 'F', 72, 0.6801);</t>
  </si>
  <si>
    <t>INSERT INTO tblWMA (WMADistance, WMARoad, WMAWRTime, WMASex, WMAAge, WMAFactor) VALUES (1.609, 1, 253, 'F', 73, 0.6703);</t>
  </si>
  <si>
    <t>INSERT INTO tblWMA (WMADistance, WMARoad, WMAWRTime, WMASex, WMAAge, WMAFactor) VALUES (1.609, 1, 253, 'F', 74, 0.6606);</t>
  </si>
  <si>
    <t>INSERT INTO tblWMA (WMADistance, WMARoad, WMAWRTime, WMASex, WMAAge, WMAFactor) VALUES (1.609, 1, 253, 'F', 75, 0.6509);</t>
  </si>
  <si>
    <t>INSERT INTO tblWMA (WMADistance, WMARoad, WMAWRTime, WMASex, WMAAge, WMAFactor) VALUES (1.609, 1, 253, 'F', 76, 0.6412);</t>
  </si>
  <si>
    <t>INSERT INTO tblWMA (WMADistance, WMARoad, WMAWRTime, WMASex, WMAAge, WMAFactor) VALUES (1.609, 1, 253, 'F', 77, 0.6315);</t>
  </si>
  <si>
    <t>INSERT INTO tblWMA (WMADistance, WMARoad, WMAWRTime, WMASex, WMAAge, WMAFactor) VALUES (1.609, 1, 253, 'F', 78, 0.6218);</t>
  </si>
  <si>
    <t>INSERT INTO tblWMA (WMADistance, WMARoad, WMAWRTime, WMASex, WMAAge, WMAFactor) VALUES (1.609, 1, 253, 'F', 79, 0.612);</t>
  </si>
  <si>
    <t>INSERT INTO tblWMA (WMADistance, WMARoad, WMAWRTime, WMASex, WMAAge, WMAFactor) VALUES (1.609, 1, 253, 'F', 80, 0.6013);</t>
  </si>
  <si>
    <t>INSERT INTO tblWMA (WMADistance, WMARoad, WMAWRTime, WMASex, WMAAge, WMAFactor) VALUES (1.609, 1, 253, 'F', 81, 0.5897);</t>
  </si>
  <si>
    <t>INSERT INTO tblWMA (WMADistance, WMARoad, WMAWRTime, WMASex, WMAAge, WMAFactor) VALUES (1.609, 1, 253, 'F', 82, 0.5772);</t>
  </si>
  <si>
    <t>INSERT INTO tblWMA (WMADistance, WMARoad, WMAWRTime, WMASex, WMAAge, WMAFactor) VALUES (1.609, 1, 253, 'F', 83, 0.5637);</t>
  </si>
  <si>
    <t>INSERT INTO tblWMA (WMADistance, WMARoad, WMAWRTime, WMASex, WMAAge, WMAFactor) VALUES (1.609, 1, 253, 'F', 84, 0.5493);</t>
  </si>
  <si>
    <t>INSERT INTO tblWMA (WMADistance, WMARoad, WMAWRTime, WMASex, WMAAge, WMAFactor) VALUES (1.609, 1, 253, 'F', 85, 0.534);</t>
  </si>
  <si>
    <t>INSERT INTO tblWMA (WMADistance, WMARoad, WMAWRTime, WMASex, WMAAge, WMAFactor) VALUES (1.609, 1, 253, 'F', 86, 0.5177);</t>
  </si>
  <si>
    <t>INSERT INTO tblWMA (WMADistance, WMARoad, WMAWRTime, WMASex, WMAAge, WMAFactor) VALUES (1.609, 1, 253, 'F', 87, 0.5004);</t>
  </si>
  <si>
    <t>INSERT INTO tblWMA (WMADistance, WMARoad, WMAWRTime, WMASex, WMAAge, WMAFactor) VALUES (1.609, 1, 253, 'F', 88, 0.4823);</t>
  </si>
  <si>
    <t>INSERT INTO tblWMA (WMADistance, WMARoad, WMAWRTime, WMASex, WMAAge, WMAFactor) VALUES (1.609, 1, 253, 'F', 89, 0.4632);</t>
  </si>
  <si>
    <t>INSERT INTO tblWMA (WMADistance, WMARoad, WMAWRTime, WMASex, WMAAge, WMAFactor) VALUES (1.609, 1, 253, 'F', 90, 0.4431);</t>
  </si>
  <si>
    <t>INSERT INTO tblWMA (WMADistance, WMARoad, WMAWRTime, WMASex, WMAAge, WMAFactor) VALUES (1.609, 1, 253, 'F', 91, 0.4221);</t>
  </si>
  <si>
    <t>INSERT INTO tblWMA (WMADistance, WMARoad, WMAWRTime, WMASex, WMAAge, WMAFactor) VALUES (1.609, 1, 253, 'F', 92, 0.4002);</t>
  </si>
  <si>
    <t>INSERT INTO tblWMA (WMADistance, WMARoad, WMAWRTime, WMASex, WMAAge, WMAFactor) VALUES (1.609, 1, 253, 'F', 93, 0.3773);</t>
  </si>
  <si>
    <t>INSERT INTO tblWMA (WMADistance, WMARoad, WMAWRTime, WMASex, WMAAge, WMAFactor) VALUES (1.609, 1, 253, 'F', 94, 0.3535);</t>
  </si>
  <si>
    <t>INSERT INTO tblWMA (WMADistance, WMARoad, WMAWRTime, WMASex, WMAAge, WMAFactor) VALUES (1.609, 1, 253, 'F', 95, 0.3288);</t>
  </si>
  <si>
    <t>INSERT INTO tblWMA (WMADistance, WMARoad, WMAWRTime, WMASex, WMAAge, WMAFactor) VALUES (1.609, 1, 253, 'F', 96, 0.3031);</t>
  </si>
  <si>
    <t>INSERT INTO tblWMA (WMADistance, WMARoad, WMAWRTime, WMASex, WMAAge, WMAFactor) VALUES (1.609, 1, 253, 'F', 97, 0.2764);</t>
  </si>
  <si>
    <t>INSERT INTO tblWMA (WMADistance, WMARoad, WMAWRTime, WMASex, WMAAge, WMAFactor) VALUES (1.609, 1, 253, 'F', 98, 0.2489);</t>
  </si>
  <si>
    <t>INSERT INTO tblWMA (WMADistance, WMARoad, WMAWRTime, WMASex, WMAAge, WMAFactor) VALUES (1.609, 1, 253, 'F', 99, 0.2204);</t>
  </si>
  <si>
    <t>INSERT INTO tblWMA (WMADistance, WMARoad, WMAWRTime, WMASex, WMAAge, WMAFactor) VALUES (1.609, 1, 253, 'F', 100, 0.1909);</t>
  </si>
  <si>
    <t>INSERT INTO tblWMA (WMADistance, WMARoad, WMAWRTime, WMASex, WMAAge, WMAFactor) VALUES (5, 1, 884, 'F', 5, 0.722);</t>
  </si>
  <si>
    <t>INSERT INTO tblWMA (WMADistance, WMARoad, WMAWRTime, WMASex, WMAAge, WMAFactor) VALUES (5, 1, 884, 'F', 6, 0.7513);</t>
  </si>
  <si>
    <t>INSERT INTO tblWMA (WMADistance, WMARoad, WMAWRTime, WMASex, WMAAge, WMAFactor) VALUES (5, 1, 884, 'F', 7, 0.7792);</t>
  </si>
  <si>
    <t>INSERT INTO tblWMA (WMADistance, WMARoad, WMAWRTime, WMASex, WMAAge, WMAFactor) VALUES (5, 1, 884, 'F', 8, 0.8057);</t>
  </si>
  <si>
    <t>INSERT INTO tblWMA (WMADistance, WMARoad, WMAWRTime, WMASex, WMAAge, WMAFactor) VALUES (5, 1, 884, 'F', 9, 0.8308);</t>
  </si>
  <si>
    <t>INSERT INTO tblWMA (WMADistance, WMARoad, WMAWRTime, WMASex, WMAAge, WMAFactor) VALUES (5, 1, 884, 'F', 10, 0.8545);</t>
  </si>
  <si>
    <t>INSERT INTO tblWMA (WMADistance, WMARoad, WMAWRTime, WMASex, WMAAge, WMAFactor) VALUES (5, 1, 884, 'F', 11, 0.8768);</t>
  </si>
  <si>
    <t>INSERT INTO tblWMA (WMADistance, WMARoad, WMAWRTime, WMASex, WMAAge, WMAFactor) VALUES (5, 1, 884, 'F', 12, 0.8977);</t>
  </si>
  <si>
    <t>INSERT INTO tblWMA (WMADistance, WMARoad, WMAWRTime, WMASex, WMAAge, WMAFactor) VALUES (5, 1, 884, 'F', 13, 0.9172);</t>
  </si>
  <si>
    <t>INSERT INTO tblWMA (WMADistance, WMARoad, WMAWRTime, WMASex, WMAAge, WMAFactor) VALUES (5, 1, 884, 'F', 14, 0.9353);</t>
  </si>
  <si>
    <t>INSERT INTO tblWMA (WMADistance, WMARoad, WMAWRTime, WMASex, WMAAge, WMAFactor) VALUES (5, 1, 884, 'F', 15, 0.952);</t>
  </si>
  <si>
    <t>INSERT INTO tblWMA (WMADistance, WMARoad, WMAWRTime, WMASex, WMAAge, WMAFactor) VALUES (5, 1, 884, 'F', 16, 0.968);</t>
  </si>
  <si>
    <t>INSERT INTO tblWMA (WMADistance, WMARoad, WMAWRTime, WMASex, WMAAge, WMAFactor) VALUES (5, 1, 884, 'F', 17, 0.984);</t>
  </si>
  <si>
    <t>INSERT INTO tblWMA (WMADistance, WMARoad, WMAWRTime, WMASex, WMAAge, WMAFactor) VALUES (5, 1, 884, 'F', 18, 0.996);</t>
  </si>
  <si>
    <t>INSERT INTO tblWMA (WMADistance, WMARoad, WMAWRTime, WMASex, WMAAge, WMAFactor) VALUES (5, 1, 884, 'F', 19, 1);</t>
  </si>
  <si>
    <t>INSERT INTO tblWMA (WMADistance, WMARoad, WMAWRTime, WMASex, WMAAge, WMAFactor) VALUES (5, 1, 884, 'F', 20, 1);</t>
  </si>
  <si>
    <t>INSERT INTO tblWMA (WMADistance, WMARoad, WMAWRTime, WMASex, WMAAge, WMAFactor) VALUES (5, 1, 884, 'F', 21, 1);</t>
  </si>
  <si>
    <t>INSERT INTO tblWMA (WMADistance, WMARoad, WMAWRTime, WMASex, WMAAge, WMAFactor) VALUES (5, 1, 884, 'F', 22, 1);</t>
  </si>
  <si>
    <t>INSERT INTO tblWMA (WMADistance, WMARoad, WMAWRTime, WMASex, WMAAge, WMAFactor) VALUES (5, 1, 884, 'F', 23, 1);</t>
  </si>
  <si>
    <t>INSERT INTO tblWMA (WMADistance, WMARoad, WMAWRTime, WMASex, WMAAge, WMAFactor) VALUES (5, 1, 884, 'F', 24, 1);</t>
  </si>
  <si>
    <t>INSERT INTO tblWMA (WMADistance, WMARoad, WMAWRTime, WMASex, WMAAge, WMAFactor) VALUES (5, 1, 884, 'F', 25, 1);</t>
  </si>
  <si>
    <t>INSERT INTO tblWMA (WMADistance, WMARoad, WMAWRTime, WMASex, WMAAge, WMAFactor) VALUES (5, 1, 884, 'F', 26, 1);</t>
  </si>
  <si>
    <t>INSERT INTO tblWMA (WMADistance, WMARoad, WMAWRTime, WMASex, WMAAge, WMAFactor) VALUES (5, 1, 884, 'F', 27, 1);</t>
  </si>
  <si>
    <t>INSERT INTO tblWMA (WMADistance, WMARoad, WMAWRTime, WMASex, WMAAge, WMAFactor) VALUES (5, 1, 884, 'F', 28, 1);</t>
  </si>
  <si>
    <t>INSERT INTO tblWMA (WMADistance, WMARoad, WMAWRTime, WMASex, WMAAge, WMAFactor) VALUES (5, 1, 884, 'F', 29, 1);</t>
  </si>
  <si>
    <t>INSERT INTO tblWMA (WMADistance, WMARoad, WMAWRTime, WMASex, WMAAge, WMAFactor) VALUES (5, 1, 884, 'F', 30, 1);</t>
  </si>
  <si>
    <t>INSERT INTO tblWMA (WMADistance, WMARoad, WMAWRTime, WMASex, WMAAge, WMAFactor) VALUES (5, 1, 884, 'F', 31, 0.9998);</t>
  </si>
  <si>
    <t>INSERT INTO tblWMA (WMADistance, WMARoad, WMAWRTime, WMASex, WMAAge, WMAFactor) VALUES (5, 1, 884, 'F', 32, 0.999);</t>
  </si>
  <si>
    <t>INSERT INTO tblWMA (WMADistance, WMARoad, WMAWRTime, WMASex, WMAAge, WMAFactor) VALUES (5, 1, 884, 'F', 33, 0.9977);</t>
  </si>
  <si>
    <t>INSERT INTO tblWMA (WMADistance, WMARoad, WMAWRTime, WMASex, WMAAge, WMAFactor) VALUES (5, 1, 884, 'F', 34, 0.9959);</t>
  </si>
  <si>
    <t>INSERT INTO tblWMA (WMADistance, WMARoad, WMAWRTime, WMASex, WMAAge, WMAFactor) VALUES (5, 1, 884, 'F', 35, 0.9935);</t>
  </si>
  <si>
    <t>INSERT INTO tblWMA (WMADistance, WMARoad, WMAWRTime, WMASex, WMAAge, WMAFactor) VALUES (5, 1, 884, 'F', 36, 0.9906);</t>
  </si>
  <si>
    <t>INSERT INTO tblWMA (WMADistance, WMARoad, WMAWRTime, WMASex, WMAAge, WMAFactor) VALUES (5, 1, 884, 'F', 37, 0.9871);</t>
  </si>
  <si>
    <t>INSERT INTO tblWMA (WMADistance, WMARoad, WMAWRTime, WMASex, WMAAge, WMAFactor) VALUES (5, 1, 884, 'F', 38, 0.9831);</t>
  </si>
  <si>
    <t>INSERT INTO tblWMA (WMADistance, WMARoad, WMAWRTime, WMASex, WMAAge, WMAFactor) VALUES (5, 1, 884, 'F', 39, 0.9785);</t>
  </si>
  <si>
    <t>INSERT INTO tblWMA (WMADistance, WMARoad, WMAWRTime, WMASex, WMAAge, WMAFactor) VALUES (5, 1, 884, 'F', 40, 0.9734);</t>
  </si>
  <si>
    <t>INSERT INTO tblWMA (WMADistance, WMARoad, WMAWRTime, WMASex, WMAAge, WMAFactor) VALUES (5, 1, 884, 'F', 41, 0.9678);</t>
  </si>
  <si>
    <t>INSERT INTO tblWMA (WMADistance, WMARoad, WMAWRTime, WMASex, WMAAge, WMAFactor) VALUES (5, 1, 884, 'F', 42, 0.9616);</t>
  </si>
  <si>
    <t>INSERT INTO tblWMA (WMADistance, WMARoad, WMAWRTime, WMASex, WMAAge, WMAFactor) VALUES (5, 1, 884, 'F', 43, 0.9549);</t>
  </si>
  <si>
    <t>INSERT INTO tblWMA (WMADistance, WMARoad, WMAWRTime, WMASex, WMAAge, WMAFactor) VALUES (5, 1, 884, 'F', 44, 0.9476);</t>
  </si>
  <si>
    <t>INSERT INTO tblWMA (WMADistance, WMARoad, WMAWRTime, WMASex, WMAAge, WMAFactor) VALUES (5, 1, 884, 'F', 45, 0.9398);</t>
  </si>
  <si>
    <t>INSERT INTO tblWMA (WMADistance, WMARoad, WMAWRTime, WMASex, WMAAge, WMAFactor) VALUES (5, 1, 884, 'F', 46, 0.9314);</t>
  </si>
  <si>
    <t>INSERT INTO tblWMA (WMADistance, WMARoad, WMAWRTime, WMASex, WMAAge, WMAFactor) VALUES (5, 1, 884, 'F', 47, 0.9225);</t>
  </si>
  <si>
    <t>INSERT INTO tblWMA (WMADistance, WMARoad, WMAWRTime, WMASex, WMAAge, WMAFactor) VALUES (5, 1, 884, 'F', 48, 0.9131);</t>
  </si>
  <si>
    <t>INSERT INTO tblWMA (WMADistance, WMARoad, WMAWRTime, WMASex, WMAAge, WMAFactor) VALUES (5, 1, 884, 'F', 49, 0.9034);</t>
  </si>
  <si>
    <t>INSERT INTO tblWMA (WMADistance, WMARoad, WMAWRTime, WMASex, WMAAge, WMAFactor) VALUES (5, 1, 884, 'F', 50, 0.8937);</t>
  </si>
  <si>
    <t>INSERT INTO tblWMA (WMADistance, WMARoad, WMAWRTime, WMASex, WMAAge, WMAFactor) VALUES (5, 1, 884, 'F', 51, 0.884);</t>
  </si>
  <si>
    <t>INSERT INTO tblWMA (WMADistance, WMARoad, WMAWRTime, WMASex, WMAAge, WMAFactor) VALUES (5, 1, 884, 'F', 52, 0.8743);</t>
  </si>
  <si>
    <t>INSERT INTO tblWMA (WMADistance, WMARoad, WMAWRTime, WMASex, WMAAge, WMAFactor) VALUES (5, 1, 884, 'F', 53, 0.8645);</t>
  </si>
  <si>
    <t>INSERT INTO tblWMA (WMADistance, WMARoad, WMAWRTime, WMASex, WMAAge, WMAFactor) VALUES (5, 1, 884, 'F', 54, 0.8548);</t>
  </si>
  <si>
    <t>INSERT INTO tblWMA (WMADistance, WMARoad, WMAWRTime, WMASex, WMAAge, WMAFactor) VALUES (5, 1, 884, 'F', 55, 0.8451);</t>
  </si>
  <si>
    <t>INSERT INTO tblWMA (WMADistance, WMARoad, WMAWRTime, WMASex, WMAAge, WMAFactor) VALUES (5, 1, 884, 'F', 56, 0.8354);</t>
  </si>
  <si>
    <t>INSERT INTO tblWMA (WMADistance, WMARoad, WMAWRTime, WMASex, WMAAge, WMAFactor) VALUES (5, 1, 884, 'F', 57, 0.8257);</t>
  </si>
  <si>
    <t>INSERT INTO tblWMA (WMADistance, WMARoad, WMAWRTime, WMASex, WMAAge, WMAFactor) VALUES (5, 1, 884, 'F', 58, 0.816);</t>
  </si>
  <si>
    <t>INSERT INTO tblWMA (WMADistance, WMARoad, WMAWRTime, WMASex, WMAAge, WMAFactor) VALUES (5, 1, 884, 'F', 59, 0.8063);</t>
  </si>
  <si>
    <t>INSERT INTO tblWMA (WMADistance, WMARoad, WMAWRTime, WMASex, WMAAge, WMAFactor) VALUES (5, 1, 884, 'F', 60, 0.7966);</t>
  </si>
  <si>
    <t>INSERT INTO tblWMA (WMADistance, WMARoad, WMAWRTime, WMASex, WMAAge, WMAFactor) VALUES (5, 1, 884, 'F', 61, 0.7869);</t>
  </si>
  <si>
    <t>INSERT INTO tblWMA (WMADistance, WMARoad, WMAWRTime, WMASex, WMAAge, WMAFactor) VALUES (5, 1, 884, 'F', 62, 0.7772);</t>
  </si>
  <si>
    <t>INSERT INTO tblWMA (WMADistance, WMARoad, WMAWRTime, WMASex, WMAAge, WMAFactor) VALUES (5, 1, 884, 'F', 63, 0.7674);</t>
  </si>
  <si>
    <t>INSERT INTO tblWMA (WMADistance, WMARoad, WMAWRTime, WMASex, WMAAge, WMAFactor) VALUES (5, 1, 884, 'F', 64, 0.7577);</t>
  </si>
  <si>
    <t>INSERT INTO tblWMA (WMADistance, WMARoad, WMAWRTime, WMASex, WMAAge, WMAFactor) VALUES (5, 1, 884, 'F', 65, 0.748);</t>
  </si>
  <si>
    <t>INSERT INTO tblWMA (WMADistance, WMARoad, WMAWRTime, WMASex, WMAAge, WMAFactor) VALUES (5, 1, 884, 'F', 66, 0.7383);</t>
  </si>
  <si>
    <t>INSERT INTO tblWMA (WMADistance, WMARoad, WMAWRTime, WMASex, WMAAge, WMAFactor) VALUES (5, 1, 884, 'F', 67, 0.7286);</t>
  </si>
  <si>
    <t>INSERT INTO tblWMA (WMADistance, WMARoad, WMAWRTime, WMASex, WMAAge, WMAFactor) VALUES (5, 1, 884, 'F', 68, 0.7189);</t>
  </si>
  <si>
    <t>INSERT INTO tblWMA (WMADistance, WMARoad, WMAWRTime, WMASex, WMAAge, WMAFactor) VALUES (5, 1, 884, 'F', 69, 0.7092);</t>
  </si>
  <si>
    <t>INSERT INTO tblWMA (WMADistance, WMARoad, WMAWRTime, WMASex, WMAAge, WMAFactor) VALUES (5, 1, 884, 'F', 70, 0.6995);</t>
  </si>
  <si>
    <t>INSERT INTO tblWMA (WMADistance, WMARoad, WMAWRTime, WMASex, WMAAge, WMAFactor) VALUES (5, 1, 884, 'F', 71, 0.6898);</t>
  </si>
  <si>
    <t>INSERT INTO tblWMA (WMADistance, WMARoad, WMAWRTime, WMASex, WMAAge, WMAFactor) VALUES (5, 1, 884, 'F', 72, 0.6801);</t>
  </si>
  <si>
    <t>INSERT INTO tblWMA (WMADistance, WMARoad, WMAWRTime, WMASex, WMAAge, WMAFactor) VALUES (5, 1, 884, 'F', 73, 0.6703);</t>
  </si>
  <si>
    <t>INSERT INTO tblWMA (WMADistance, WMARoad, WMAWRTime, WMASex, WMAAge, WMAFactor) VALUES (5, 1, 884, 'F', 74, 0.6606);</t>
  </si>
  <si>
    <t>INSERT INTO tblWMA (WMADistance, WMARoad, WMAWRTime, WMASex, WMAAge, WMAFactor) VALUES (5, 1, 884, 'F', 75, 0.6509);</t>
  </si>
  <si>
    <t>INSERT INTO tblWMA (WMADistance, WMARoad, WMAWRTime, WMASex, WMAAge, WMAFactor) VALUES (5, 1, 884, 'F', 76, 0.6412);</t>
  </si>
  <si>
    <t>INSERT INTO tblWMA (WMADistance, WMARoad, WMAWRTime, WMASex, WMAAge, WMAFactor) VALUES (5, 1, 884, 'F', 77, 0.6315);</t>
  </si>
  <si>
    <t>INSERT INTO tblWMA (WMADistance, WMARoad, WMAWRTime, WMASex, WMAAge, WMAFactor) VALUES (5, 1, 884, 'F', 78, 0.6218);</t>
  </si>
  <si>
    <t>INSERT INTO tblWMA (WMADistance, WMARoad, WMAWRTime, WMASex, WMAAge, WMAFactor) VALUES (5, 1, 884, 'F', 79, 0.612);</t>
  </si>
  <si>
    <t>INSERT INTO tblWMA (WMADistance, WMARoad, WMAWRTime, WMASex, WMAAge, WMAFactor) VALUES (5, 1, 884, 'F', 80, 0.6013);</t>
  </si>
  <si>
    <t>INSERT INTO tblWMA (WMADistance, WMARoad, WMAWRTime, WMASex, WMAAge, WMAFactor) VALUES (5, 1, 884, 'F', 81, 0.5897);</t>
  </si>
  <si>
    <t>INSERT INTO tblWMA (WMADistance, WMARoad, WMAWRTime, WMASex, WMAAge, WMAFactor) VALUES (5, 1, 884, 'F', 82, 0.5772);</t>
  </si>
  <si>
    <t>INSERT INTO tblWMA (WMADistance, WMARoad, WMAWRTime, WMASex, WMAAge, WMAFactor) VALUES (5, 1, 884, 'F', 83, 0.5637);</t>
  </si>
  <si>
    <t>INSERT INTO tblWMA (WMADistance, WMARoad, WMAWRTime, WMASex, WMAAge, WMAFactor) VALUES (5, 1, 884, 'F', 84, 0.5493);</t>
  </si>
  <si>
    <t>INSERT INTO tblWMA (WMADistance, WMARoad, WMAWRTime, WMASex, WMAAge, WMAFactor) VALUES (5, 1, 884, 'F', 85, 0.534);</t>
  </si>
  <si>
    <t>INSERT INTO tblWMA (WMADistance, WMARoad, WMAWRTime, WMASex, WMAAge, WMAFactor) VALUES (5, 1, 884, 'F', 86, 0.5177);</t>
  </si>
  <si>
    <t>INSERT INTO tblWMA (WMADistance, WMARoad, WMAWRTime, WMASex, WMAAge, WMAFactor) VALUES (5, 1, 884, 'F', 87, 0.5004);</t>
  </si>
  <si>
    <t>INSERT INTO tblWMA (WMADistance, WMARoad, WMAWRTime, WMASex, WMAAge, WMAFactor) VALUES (5, 1, 884, 'F', 88, 0.4823);</t>
  </si>
  <si>
    <t>INSERT INTO tblWMA (WMADistance, WMARoad, WMAWRTime, WMASex, WMAAge, WMAFactor) VALUES (5, 1, 884, 'F', 89, 0.4632);</t>
  </si>
  <si>
    <t>INSERT INTO tblWMA (WMADistance, WMARoad, WMAWRTime, WMASex, WMAAge, WMAFactor) VALUES (5, 1, 884, 'F', 90, 0.4431);</t>
  </si>
  <si>
    <t>INSERT INTO tblWMA (WMADistance, WMARoad, WMAWRTime, WMASex, WMAAge, WMAFactor) VALUES (5, 1, 884, 'F', 91, 0.4221);</t>
  </si>
  <si>
    <t>INSERT INTO tblWMA (WMADistance, WMARoad, WMAWRTime, WMASex, WMAAge, WMAFactor) VALUES (5, 1, 884, 'F', 92, 0.4002);</t>
  </si>
  <si>
    <t>INSERT INTO tblWMA (WMADistance, WMARoad, WMAWRTime, WMASex, WMAAge, WMAFactor) VALUES (5, 1, 884, 'F', 93, 0.3773);</t>
  </si>
  <si>
    <t>INSERT INTO tblWMA (WMADistance, WMARoad, WMAWRTime, WMASex, WMAAge, WMAFactor) VALUES (5, 1, 884, 'F', 94, 0.3535);</t>
  </si>
  <si>
    <t>INSERT INTO tblWMA (WMADistance, WMARoad, WMAWRTime, WMASex, WMAAge, WMAFactor) VALUES (5, 1, 884, 'F', 95, 0.3288);</t>
  </si>
  <si>
    <t>INSERT INTO tblWMA (WMADistance, WMARoad, WMAWRTime, WMASex, WMAAge, WMAFactor) VALUES (5, 1, 884, 'F', 96, 0.3031);</t>
  </si>
  <si>
    <t>INSERT INTO tblWMA (WMADistance, WMARoad, WMAWRTime, WMASex, WMAAge, WMAFactor) VALUES (5, 1, 884, 'F', 97, 0.2764);</t>
  </si>
  <si>
    <t>INSERT INTO tblWMA (WMADistance, WMARoad, WMAWRTime, WMASex, WMAAge, WMAFactor) VALUES (5, 1, 884, 'F', 98, 0.2489);</t>
  </si>
  <si>
    <t>INSERT INTO tblWMA (WMADistance, WMARoad, WMAWRTime, WMASex, WMAAge, WMAFactor) VALUES (5, 1, 884, 'F', 99, 0.2204);</t>
  </si>
  <si>
    <t>INSERT INTO tblWMA (WMADistance, WMARoad, WMAWRTime, WMASex, WMAAge, WMAFactor) VALUES (5, 1, 884, 'F', 100, 0.1909);</t>
  </si>
  <si>
    <t>INSERT INTO tblWMA (WMADistance, WMARoad, WMAWRTime, WMASex, WMAAge, WMAFactor) VALUES (6, 1, 1062, 'F', 5, 0.707);</t>
  </si>
  <si>
    <t>INSERT INTO tblWMA (WMADistance, WMARoad, WMAWRTime, WMASex, WMAAge, WMAFactor) VALUES (6, 1, 1062, 'F', 6, 0.7392);</t>
  </si>
  <si>
    <t>INSERT INTO tblWMA (WMADistance, WMARoad, WMAWRTime, WMASex, WMAAge, WMAFactor) VALUES (6, 1, 1062, 'F', 7, 0.7696);</t>
  </si>
  <si>
    <t>INSERT INTO tblWMA (WMADistance, WMARoad, WMAWRTime, WMASex, WMAAge, WMAFactor) VALUES (6, 1, 1062, 'F', 8, 0.7984);</t>
  </si>
  <si>
    <t>INSERT INTO tblWMA (WMADistance, WMARoad, WMAWRTime, WMASex, WMAAge, WMAFactor) VALUES (6, 1, 1062, 'F', 9, 0.8254);</t>
  </si>
  <si>
    <t>INSERT INTO tblWMA (WMADistance, WMARoad, WMAWRTime, WMASex, WMAAge, WMAFactor) VALUES (6, 1, 1062, 'F', 10, 0.8508);</t>
  </si>
  <si>
    <t>INSERT INTO tblWMA (WMADistance, WMARoad, WMAWRTime, WMASex, WMAAge, WMAFactor) VALUES (6, 1, 1062, 'F', 11, 0.8744);</t>
  </si>
  <si>
    <t>INSERT INTO tblWMA (WMADistance, WMARoad, WMAWRTime, WMASex, WMAAge, WMAFactor) VALUES (6, 1, 1062, 'F', 12, 0.8964);</t>
  </si>
  <si>
    <t>INSERT INTO tblWMA (WMADistance, WMARoad, WMAWRTime, WMASex, WMAAge, WMAFactor) VALUES (6, 1, 1062, 'F', 13, 0.9166);</t>
  </si>
  <si>
    <t>INSERT INTO tblWMA (WMADistance, WMARoad, WMAWRTime, WMASex, WMAAge, WMAFactor) VALUES (6, 1, 1062, 'F', 14, 0.9352);</t>
  </si>
  <si>
    <t>INSERT INTO tblWMA (WMADistance, WMARoad, WMAWRTime, WMASex, WMAAge, WMAFactor) VALUES (6, 1, 1062, 'F', 15, 0.952);</t>
  </si>
  <si>
    <t>INSERT INTO tblWMA (WMADistance, WMARoad, WMAWRTime, WMASex, WMAAge, WMAFactor) VALUES (6, 1, 1062, 'F', 16, 0.968);</t>
  </si>
  <si>
    <t>INSERT INTO tblWMA (WMADistance, WMARoad, WMAWRTime, WMASex, WMAAge, WMAFactor) VALUES (6, 1, 1062, 'F', 17, 0.984);</t>
  </si>
  <si>
    <t>INSERT INTO tblWMA (WMADistance, WMARoad, WMAWRTime, WMASex, WMAAge, WMAFactor) VALUES (6, 1, 1062, 'F', 18, 0.996);</t>
  </si>
  <si>
    <t>INSERT INTO tblWMA (WMADistance, WMARoad, WMAWRTime, WMASex, WMAAge, WMAFactor) VALUES (6, 1, 1062, 'F', 19, 1);</t>
  </si>
  <si>
    <t>INSERT INTO tblWMA (WMADistance, WMARoad, WMAWRTime, WMASex, WMAAge, WMAFactor) VALUES (6, 1, 1062, 'F', 20, 1);</t>
  </si>
  <si>
    <t>INSERT INTO tblWMA (WMADistance, WMARoad, WMAWRTime, WMASex, WMAAge, WMAFactor) VALUES (6, 1, 1062, 'F', 21, 1);</t>
  </si>
  <si>
    <t>INSERT INTO tblWMA (WMADistance, WMARoad, WMAWRTime, WMASex, WMAAge, WMAFactor) VALUES (6, 1, 1062, 'F', 22, 1);</t>
  </si>
  <si>
    <t>INSERT INTO tblWMA (WMADistance, WMARoad, WMAWRTime, WMASex, WMAAge, WMAFactor) VALUES (6, 1, 1062, 'F', 23, 1);</t>
  </si>
  <si>
    <t>INSERT INTO tblWMA (WMADistance, WMARoad, WMAWRTime, WMASex, WMAAge, WMAFactor) VALUES (6, 1, 1062, 'F', 24, 1);</t>
  </si>
  <si>
    <t>INSERT INTO tblWMA (WMADistance, WMARoad, WMAWRTime, WMASex, WMAAge, WMAFactor) VALUES (6, 1, 1062, 'F', 25, 1);</t>
  </si>
  <si>
    <t>INSERT INTO tblWMA (WMADistance, WMARoad, WMAWRTime, WMASex, WMAAge, WMAFactor) VALUES (6, 1, 1062, 'F', 26, 1);</t>
  </si>
  <si>
    <t>INSERT INTO tblWMA (WMADistance, WMARoad, WMAWRTime, WMASex, WMAAge, WMAFactor) VALUES (6, 1, 1062, 'F', 27, 1);</t>
  </si>
  <si>
    <t>INSERT INTO tblWMA (WMADistance, WMARoad, WMAWRTime, WMASex, WMAAge, WMAFactor) VALUES (6, 1, 1062, 'F', 28, 1);</t>
  </si>
  <si>
    <t>INSERT INTO tblWMA (WMADistance, WMARoad, WMAWRTime, WMASex, WMAAge, WMAFactor) VALUES (6, 1, 1062, 'F', 29, 1);</t>
  </si>
  <si>
    <t>INSERT INTO tblWMA (WMADistance, WMARoad, WMAWRTime, WMASex, WMAAge, WMAFactor) VALUES (6, 1, 1062, 'F', 30, 0.9999);</t>
  </si>
  <si>
    <t>INSERT INTO tblWMA (WMADistance, WMARoad, WMAWRTime, WMASex, WMAAge, WMAFactor) VALUES (6, 1, 1062, 'F', 31, 0.9992);</t>
  </si>
  <si>
    <t>INSERT INTO tblWMA (WMADistance, WMARoad, WMAWRTime, WMASex, WMAAge, WMAFactor) VALUES (6, 1, 1062, 'F', 32, 0.9981);</t>
  </si>
  <si>
    <t>INSERT INTO tblWMA (WMADistance, WMARoad, WMAWRTime, WMASex, WMAAge, WMAFactor) VALUES (6, 1, 1062, 'F', 33, 0.9965);</t>
  </si>
  <si>
    <t>INSERT INTO tblWMA (WMADistance, WMARoad, WMAWRTime, WMASex, WMAAge, WMAFactor) VALUES (6, 1, 1062, 'F', 34, 0.9943);</t>
  </si>
  <si>
    <t>INSERT INTO tblWMA (WMADistance, WMARoad, WMAWRTime, WMASex, WMAAge, WMAFactor) VALUES (6, 1, 1062, 'F', 35, 0.9916);</t>
  </si>
  <si>
    <t>INSERT INTO tblWMA (WMADistance, WMARoad, WMAWRTime, WMASex, WMAAge, WMAFactor) VALUES (6, 1, 1062, 'F', 36, 0.9884);</t>
  </si>
  <si>
    <t>INSERT INTO tblWMA (WMADistance, WMARoad, WMAWRTime, WMASex, WMAAge, WMAFactor) VALUES (6, 1, 1062, 'F', 37, 0.9847);</t>
  </si>
  <si>
    <t>INSERT INTO tblWMA (WMADistance, WMARoad, WMAWRTime, WMASex, WMAAge, WMAFactor) VALUES (6, 1, 1062, 'F', 38, 0.9805);</t>
  </si>
  <si>
    <t>INSERT INTO tblWMA (WMADistance, WMARoad, WMAWRTime, WMASex, WMAAge, WMAFactor) VALUES (6, 1, 1062, 'F', 39, 0.9758);</t>
  </si>
  <si>
    <t>INSERT INTO tblWMA (WMADistance, WMARoad, WMAWRTime, WMASex, WMAAge, WMAFactor) VALUES (6, 1, 1062, 'F', 40, 0.9706);</t>
  </si>
  <si>
    <t>INSERT INTO tblWMA (WMADistance, WMARoad, WMAWRTime, WMASex, WMAAge, WMAFactor) VALUES (6, 1, 1062, 'F', 41, 0.9648);</t>
  </si>
  <si>
    <t>INSERT INTO tblWMA (WMADistance, WMARoad, WMAWRTime, WMASex, WMAAge, WMAFactor) VALUES (6, 1, 1062, 'F', 42, 0.9586);</t>
  </si>
  <si>
    <t>INSERT INTO tblWMA (WMADistance, WMARoad, WMAWRTime, WMASex, WMAAge, WMAFactor) VALUES (6, 1, 1062, 'F', 43, 0.9518);</t>
  </si>
  <si>
    <t>INSERT INTO tblWMA (WMADistance, WMARoad, WMAWRTime, WMASex, WMAAge, WMAFactor) VALUES (6, 1, 1062, 'F', 44, 0.9445);</t>
  </si>
  <si>
    <t>INSERT INTO tblWMA (WMADistance, WMARoad, WMAWRTime, WMASex, WMAAge, WMAFactor) VALUES (6, 1, 1062, 'F', 45, 0.9367);</t>
  </si>
  <si>
    <t>INSERT INTO tblWMA (WMADistance, WMARoad, WMAWRTime, WMASex, WMAAge, WMAFactor) VALUES (6, 1, 1062, 'F', 46, 0.9284);</t>
  </si>
  <si>
    <t>INSERT INTO tblWMA (WMADistance, WMARoad, WMAWRTime, WMASex, WMAAge, WMAFactor) VALUES (6, 1, 1062, 'F', 47, 0.9195);</t>
  </si>
  <si>
    <t>INSERT INTO tblWMA (WMADistance, WMARoad, WMAWRTime, WMASex, WMAAge, WMAFactor) VALUES (6, 1, 1062, 'F', 48, 0.9102);</t>
  </si>
  <si>
    <t>INSERT INTO tblWMA (WMADistance, WMARoad, WMAWRTime, WMASex, WMAAge, WMAFactor) VALUES (6, 1, 1062, 'F', 49, 0.9005);</t>
  </si>
  <si>
    <t>INSERT INTO tblWMA (WMADistance, WMARoad, WMAWRTime, WMASex, WMAAge, WMAFactor) VALUES (6, 1, 1062, 'F', 50, 0.8907);</t>
  </si>
  <si>
    <t>INSERT INTO tblWMA (WMADistance, WMARoad, WMAWRTime, WMASex, WMAAge, WMAFactor) VALUES (6, 1, 1062, 'F', 51, 0.8809);</t>
  </si>
  <si>
    <t>INSERT INTO tblWMA (WMADistance, WMARoad, WMAWRTime, WMASex, WMAAge, WMAFactor) VALUES (6, 1, 1062, 'F', 52, 0.8712);</t>
  </si>
  <si>
    <t>INSERT INTO tblWMA (WMADistance, WMARoad, WMAWRTime, WMASex, WMAAge, WMAFactor) VALUES (6, 1, 1062, 'F', 53, 0.8614);</t>
  </si>
  <si>
    <t>INSERT INTO tblWMA (WMADistance, WMARoad, WMAWRTime, WMASex, WMAAge, WMAFactor) VALUES (6, 1, 1062, 'F', 54, 0.8516);</t>
  </si>
  <si>
    <t>INSERT INTO tblWMA (WMADistance, WMARoad, WMAWRTime, WMASex, WMAAge, WMAFactor) VALUES (6, 1, 1062, 'F', 55, 0.8418);</t>
  </si>
  <si>
    <t>INSERT INTO tblWMA (WMADistance, WMARoad, WMAWRTime, WMASex, WMAAge, WMAFactor) VALUES (6, 1, 1062, 'F', 56, 0.8321);</t>
  </si>
  <si>
    <t>INSERT INTO tblWMA (WMADistance, WMARoad, WMAWRTime, WMASex, WMAAge, WMAFactor) VALUES (6, 1, 1062, 'F', 57, 0.8223);</t>
  </si>
  <si>
    <t>INSERT INTO tblWMA (WMADistance, WMARoad, WMAWRTime, WMASex, WMAAge, WMAFactor) VALUES (6, 1, 1062, 'F', 58, 0.8125);</t>
  </si>
  <si>
    <t>INSERT INTO tblWMA (WMADistance, WMARoad, WMAWRTime, WMASex, WMAAge, WMAFactor) VALUES (6, 1, 1062, 'F', 59, 0.8028);</t>
  </si>
  <si>
    <t>INSERT INTO tblWMA (WMADistance, WMARoad, WMAWRTime, WMASex, WMAAge, WMAFactor) VALUES (6, 1, 1062, 'F', 60, 0.793);</t>
  </si>
  <si>
    <t>INSERT INTO tblWMA (WMADistance, WMARoad, WMAWRTime, WMASex, WMAAge, WMAFactor) VALUES (6, 1, 1062, 'F', 61, 0.7832);</t>
  </si>
  <si>
    <t>INSERT INTO tblWMA (WMADistance, WMARoad, WMAWRTime, WMASex, WMAAge, WMAFactor) VALUES (6, 1, 1062, 'F', 62, 0.7735);</t>
  </si>
  <si>
    <t>INSERT INTO tblWMA (WMADistance, WMARoad, WMAWRTime, WMASex, WMAAge, WMAFactor) VALUES (6, 1, 1062, 'F', 63, 0.7637);</t>
  </si>
  <si>
    <t>INSERT INTO tblWMA (WMADistance, WMARoad, WMAWRTime, WMASex, WMAAge, WMAFactor) VALUES (6, 1, 1062, 'F', 64, 0.7539);</t>
  </si>
  <si>
    <t>INSERT INTO tblWMA (WMADistance, WMARoad, WMAWRTime, WMASex, WMAAge, WMAFactor) VALUES (6, 1, 1062, 'F', 65, 0.7441);</t>
  </si>
  <si>
    <t>INSERT INTO tblWMA (WMADistance, WMARoad, WMAWRTime, WMASex, WMAAge, WMAFactor) VALUES (6, 1, 1062, 'F', 66, 0.7344);</t>
  </si>
  <si>
    <t>INSERT INTO tblWMA (WMADistance, WMARoad, WMAWRTime, WMASex, WMAAge, WMAFactor) VALUES (6, 1, 1062, 'F', 67, 0.7246);</t>
  </si>
  <si>
    <t>INSERT INTO tblWMA (WMADistance, WMARoad, WMAWRTime, WMASex, WMAAge, WMAFactor) VALUES (6, 1, 1062, 'F', 68, 0.7148);</t>
  </si>
  <si>
    <t>INSERT INTO tblWMA (WMADistance, WMARoad, WMAWRTime, WMASex, WMAAge, WMAFactor) VALUES (6, 1, 1062, 'F', 69, 0.7051);</t>
  </si>
  <si>
    <t>INSERT INTO tblWMA (WMADistance, WMARoad, WMAWRTime, WMASex, WMAAge, WMAFactor) VALUES (6, 1, 1062, 'F', 70, 0.6953);</t>
  </si>
  <si>
    <t>INSERT INTO tblWMA (WMADistance, WMARoad, WMAWRTime, WMASex, WMAAge, WMAFactor) VALUES (6, 1, 1062, 'F', 71, 0.6855);</t>
  </si>
  <si>
    <t>INSERT INTO tblWMA (WMADistance, WMARoad, WMAWRTime, WMASex, WMAAge, WMAFactor) VALUES (6, 1, 1062, 'F', 72, 0.6757);</t>
  </si>
  <si>
    <t>INSERT INTO tblWMA (WMADistance, WMARoad, WMAWRTime, WMASex, WMAAge, WMAFactor) VALUES (6, 1, 1062, 'F', 73, 0.666);</t>
  </si>
  <si>
    <t>INSERT INTO tblWMA (WMADistance, WMARoad, WMAWRTime, WMASex, WMAAge, WMAFactor) VALUES (6, 1, 1062, 'F', 74, 0.6562);</t>
  </si>
  <si>
    <t>INSERT INTO tblWMA (WMADistance, WMARoad, WMAWRTime, WMASex, WMAAge, WMAFactor) VALUES (6, 1, 1062, 'F', 75, 0.6464);</t>
  </si>
  <si>
    <t>INSERT INTO tblWMA (WMADistance, WMARoad, WMAWRTime, WMASex, WMAAge, WMAFactor) VALUES (6, 1, 1062, 'F', 76, 0.6367);</t>
  </si>
  <si>
    <t>INSERT INTO tblWMA (WMADistance, WMARoad, WMAWRTime, WMASex, WMAAge, WMAFactor) VALUES (6, 1, 1062, 'F', 77, 0.6269);</t>
  </si>
  <si>
    <t>INSERT INTO tblWMA (WMADistance, WMARoad, WMAWRTime, WMASex, WMAAge, WMAFactor) VALUES (6, 1, 1062, 'F', 78, 0.617);</t>
  </si>
  <si>
    <t>INSERT INTO tblWMA (WMADistance, WMARoad, WMAWRTime, WMASex, WMAAge, WMAFactor) VALUES (6, 1, 1062, 'F', 79, 0.6065);</t>
  </si>
  <si>
    <t>INSERT INTO tblWMA (WMADistance, WMARoad, WMAWRTime, WMASex, WMAAge, WMAFactor) VALUES (6, 1, 1062, 'F', 80, 0.595);</t>
  </si>
  <si>
    <t>INSERT INTO tblWMA (WMADistance, WMARoad, WMAWRTime, WMASex, WMAAge, WMAFactor) VALUES (6, 1, 1062, 'F', 81, 0.5826);</t>
  </si>
  <si>
    <t>INSERT INTO tblWMA (WMADistance, WMARoad, WMAWRTime, WMASex, WMAAge, WMAFactor) VALUES (6, 1, 1062, 'F', 82, 0.5693);</t>
  </si>
  <si>
    <t>INSERT INTO tblWMA (WMADistance, WMARoad, WMAWRTime, WMASex, WMAAge, WMAFactor) VALUES (6, 1, 1062, 'F', 83, 0.5552);</t>
  </si>
  <si>
    <t>INSERT INTO tblWMA (WMADistance, WMARoad, WMAWRTime, WMASex, WMAAge, WMAFactor) VALUES (6, 1, 1062, 'F', 84, 0.5401);</t>
  </si>
  <si>
    <t>INSERT INTO tblWMA (WMADistance, WMARoad, WMAWRTime, WMASex, WMAAge, WMAFactor) VALUES (6, 1, 1062, 'F', 85, 0.5242);</t>
  </si>
  <si>
    <t>INSERT INTO tblWMA (WMADistance, WMARoad, WMAWRTime, WMASex, WMAAge, WMAFactor) VALUES (6, 1, 1062, 'F', 86, 0.5073);</t>
  </si>
  <si>
    <t>INSERT INTO tblWMA (WMADistance, WMARoad, WMAWRTime, WMASex, WMAAge, WMAFactor) VALUES (6, 1, 1062, 'F', 87, 0.4896);</t>
  </si>
  <si>
    <t>INSERT INTO tblWMA (WMADistance, WMARoad, WMAWRTime, WMASex, WMAAge, WMAFactor) VALUES (6, 1, 1062, 'F', 88, 0.471);</t>
  </si>
  <si>
    <t>INSERT INTO tblWMA (WMADistance, WMARoad, WMAWRTime, WMASex, WMAAge, WMAFactor) VALUES (6, 1, 1062, 'F', 89, 0.4514);</t>
  </si>
  <si>
    <t>INSERT INTO tblWMA (WMADistance, WMARoad, WMAWRTime, WMASex, WMAAge, WMAFactor) VALUES (6, 1, 1062, 'F', 90, 0.431);</t>
  </si>
  <si>
    <t>INSERT INTO tblWMA (WMADistance, WMARoad, WMAWRTime, WMASex, WMAAge, WMAFactor) VALUES (6, 1, 1062, 'F', 91, 0.4097);</t>
  </si>
  <si>
    <t>INSERT INTO tblWMA (WMADistance, WMARoad, WMAWRTime, WMASex, WMAAge, WMAFactor) VALUES (6, 1, 1062, 'F', 92, 0.3875);</t>
  </si>
  <si>
    <t>INSERT INTO tblWMA (WMADistance, WMARoad, WMAWRTime, WMASex, WMAAge, WMAFactor) VALUES (6, 1, 1062, 'F', 93, 0.3644);</t>
  </si>
  <si>
    <t>INSERT INTO tblWMA (WMADistance, WMARoad, WMAWRTime, WMASex, WMAAge, WMAFactor) VALUES (6, 1, 1062, 'F', 94, 0.3405);</t>
  </si>
  <si>
    <t>INSERT INTO tblWMA (WMADistance, WMARoad, WMAWRTime, WMASex, WMAAge, WMAFactor) VALUES (6, 1, 1062, 'F', 95, 0.3156);</t>
  </si>
  <si>
    <t>INSERT INTO tblWMA (WMADistance, WMARoad, WMAWRTime, WMASex, WMAAge, WMAFactor) VALUES (6, 1, 1062, 'F', 96, 0.2898);</t>
  </si>
  <si>
    <t>INSERT INTO tblWMA (WMADistance, WMARoad, WMAWRTime, WMASex, WMAAge, WMAFactor) VALUES (6, 1, 1062, 'F', 97, 0.2631);</t>
  </si>
  <si>
    <t>INSERT INTO tblWMA (WMADistance, WMARoad, WMAWRTime, WMASex, WMAAge, WMAFactor) VALUES (6, 1, 1062, 'F', 98, 0.2356);</t>
  </si>
  <si>
    <t>INSERT INTO tblWMA (WMADistance, WMARoad, WMAWRTime, WMASex, WMAAge, WMAFactor) VALUES (6, 1, 1062, 'F', 99, 0.2072);</t>
  </si>
  <si>
    <t>INSERT INTO tblWMA (WMADistance, WMARoad, WMAWRTime, WMASex, WMAAge, WMAFactor) VALUES (6, 1, 1062, 'F', 100, 0.1778);</t>
  </si>
  <si>
    <t>INSERT INTO tblWMA (WMADistance, WMARoad, WMAWRTime, WMASex, WMAAge, WMAFactor) VALUES (6.437, 1, 1140, 'F', 5, 0.701);</t>
  </si>
  <si>
    <t>INSERT INTO tblWMA (WMADistance, WMARoad, WMAWRTime, WMASex, WMAAge, WMAFactor) VALUES (6.437, 1, 1140, 'F', 6, 0.7343);</t>
  </si>
  <si>
    <t>INSERT INTO tblWMA (WMADistance, WMARoad, WMAWRTime, WMASex, WMAAge, WMAFactor) VALUES (6.437, 1, 1140, 'F', 7, 0.7658);</t>
  </si>
  <si>
    <t>INSERT INTO tblWMA (WMADistance, WMARoad, WMAWRTime, WMASex, WMAAge, WMAFactor) VALUES (6.437, 1, 1140, 'F', 8, 0.7954);</t>
  </si>
  <si>
    <t>INSERT INTO tblWMA (WMADistance, WMARoad, WMAWRTime, WMASex, WMAAge, WMAFactor) VALUES (6.437, 1, 1140, 'F', 9, 0.8232);</t>
  </si>
  <si>
    <t>INSERT INTO tblWMA (WMADistance, WMARoad, WMAWRTime, WMASex, WMAAge, WMAFactor) VALUES (6.437, 1, 1140, 'F', 10, 0.8493);</t>
  </si>
  <si>
    <t>INSERT INTO tblWMA (WMADistance, WMARoad, WMAWRTime, WMASex, WMAAge, WMAFactor) VALUES (6.437, 1, 1140, 'F', 11, 0.8734);</t>
  </si>
  <si>
    <t>INSERT INTO tblWMA (WMADistance, WMARoad, WMAWRTime, WMASex, WMAAge, WMAFactor) VALUES (6.437, 1, 1140, 'F', 12, 0.8958);</t>
  </si>
  <si>
    <t>INSERT INTO tblWMA (WMADistance, WMARoad, WMAWRTime, WMASex, WMAAge, WMAFactor) VALUES (6.437, 1, 1140, 'F', 13, 0.9164);</t>
  </si>
  <si>
    <t>INSERT INTO tblWMA (WMADistance, WMARoad, WMAWRTime, WMASex, WMAAge, WMAFactor) VALUES (6.437, 1, 1140, 'F', 14, 0.9351);</t>
  </si>
  <si>
    <t>INSERT INTO tblWMA (WMADistance, WMARoad, WMAWRTime, WMASex, WMAAge, WMAFactor) VALUES (6.437, 1, 1140, 'F', 15, 0.952);</t>
  </si>
  <si>
    <t>INSERT INTO tblWMA (WMADistance, WMARoad, WMAWRTime, WMASex, WMAAge, WMAFactor) VALUES (6.437, 1, 1140, 'F', 16, 0.968);</t>
  </si>
  <si>
    <t>INSERT INTO tblWMA (WMADistance, WMARoad, WMAWRTime, WMASex, WMAAge, WMAFactor) VALUES (6.437, 1, 1140, 'F', 17, 0.984);</t>
  </si>
  <si>
    <t>INSERT INTO tblWMA (WMADistance, WMARoad, WMAWRTime, WMASex, WMAAge, WMAFactor) VALUES (6.437, 1, 1140, 'F', 18, 0.996);</t>
  </si>
  <si>
    <t>INSERT INTO tblWMA (WMADistance, WMARoad, WMAWRTime, WMASex, WMAAge, WMAFactor) VALUES (6.437, 1, 1140, 'F', 19, 1);</t>
  </si>
  <si>
    <t>INSERT INTO tblWMA (WMADistance, WMARoad, WMAWRTime, WMASex, WMAAge, WMAFactor) VALUES (6.437, 1, 1140, 'F', 20, 1);</t>
  </si>
  <si>
    <t>INSERT INTO tblWMA (WMADistance, WMARoad, WMAWRTime, WMASex, WMAAge, WMAFactor) VALUES (6.437, 1, 1140, 'F', 21, 1);</t>
  </si>
  <si>
    <t>INSERT INTO tblWMA (WMADistance, WMARoad, WMAWRTime, WMASex, WMAAge, WMAFactor) VALUES (6.437, 1, 1140, 'F', 22, 1);</t>
  </si>
  <si>
    <t>INSERT INTO tblWMA (WMADistance, WMARoad, WMAWRTime, WMASex, WMAAge, WMAFactor) VALUES (6.437, 1, 1140, 'F', 23, 1);</t>
  </si>
  <si>
    <t>INSERT INTO tblWMA (WMADistance, WMARoad, WMAWRTime, WMASex, WMAAge, WMAFactor) VALUES (6.437, 1, 1140, 'F', 24, 1);</t>
  </si>
  <si>
    <t>INSERT INTO tblWMA (WMADistance, WMARoad, WMAWRTime, WMASex, WMAAge, WMAFactor) VALUES (6.437, 1, 1140, 'F', 25, 1);</t>
  </si>
  <si>
    <t>INSERT INTO tblWMA (WMADistance, WMARoad, WMAWRTime, WMASex, WMAAge, WMAFactor) VALUES (6.437, 1, 1140, 'F', 26, 1);</t>
  </si>
  <si>
    <t>INSERT INTO tblWMA (WMADistance, WMARoad, WMAWRTime, WMASex, WMAAge, WMAFactor) VALUES (6.437, 1, 1140, 'F', 27, 1);</t>
  </si>
  <si>
    <t>INSERT INTO tblWMA (WMADistance, WMARoad, WMAWRTime, WMASex, WMAAge, WMAFactor) VALUES (6.437, 1, 1140, 'F', 28, 1);</t>
  </si>
  <si>
    <t>INSERT INTO tblWMA (WMADistance, WMARoad, WMAWRTime, WMASex, WMAAge, WMAFactor) VALUES (6.437, 1, 1140, 'F', 29, 1);</t>
  </si>
  <si>
    <t>INSERT INTO tblWMA (WMADistance, WMARoad, WMAWRTime, WMASex, WMAAge, WMAFactor) VALUES (6.437, 1, 1140, 'F', 30, 0.9997);</t>
  </si>
  <si>
    <t>INSERT INTO tblWMA (WMADistance, WMARoad, WMAWRTime, WMASex, WMAAge, WMAFactor) VALUES (6.437, 1, 1140, 'F', 31, 0.999);</t>
  </si>
  <si>
    <t>INSERT INTO tblWMA (WMADistance, WMARoad, WMAWRTime, WMASex, WMAAge, WMAFactor) VALUES (6.437, 1, 1140, 'F', 32, 0.9977);</t>
  </si>
  <si>
    <t>INSERT INTO tblWMA (WMADistance, WMARoad, WMAWRTime, WMASex, WMAAge, WMAFactor) VALUES (6.437, 1, 1140, 'F', 33, 0.9959);</t>
  </si>
  <si>
    <t>INSERT INTO tblWMA (WMADistance, WMARoad, WMAWRTime, WMASex, WMAAge, WMAFactor) VALUES (6.437, 1, 1140, 'F', 34, 0.9936);</t>
  </si>
  <si>
    <t>INSERT INTO tblWMA (WMADistance, WMARoad, WMAWRTime, WMASex, WMAAge, WMAFactor) VALUES (6.437, 1, 1140, 'F', 35, 0.9909);</t>
  </si>
  <si>
    <t>INSERT INTO tblWMA (WMADistance, WMARoad, WMAWRTime, WMASex, WMAAge, WMAFactor) VALUES (6.437, 1, 1140, 'F', 36, 0.9876);</t>
  </si>
  <si>
    <t>INSERT INTO tblWMA (WMADistance, WMARoad, WMAWRTime, WMASex, WMAAge, WMAFactor) VALUES (6.437, 1, 1140, 'F', 37, 0.9838);</t>
  </si>
  <si>
    <t>INSERT INTO tblWMA (WMADistance, WMARoad, WMAWRTime, WMASex, WMAAge, WMAFactor) VALUES (6.437, 1, 1140, 'F', 38, 0.9795);</t>
  </si>
  <si>
    <t>INSERT INTO tblWMA (WMADistance, WMARoad, WMAWRTime, WMASex, WMAAge, WMAFactor) VALUES (6.437, 1, 1140, 'F', 39, 0.9747);</t>
  </si>
  <si>
    <t>INSERT INTO tblWMA (WMADistance, WMARoad, WMAWRTime, WMASex, WMAAge, WMAFactor) VALUES (6.437, 1, 1140, 'F', 40, 0.9695);</t>
  </si>
  <si>
    <t>INSERT INTO tblWMA (WMADistance, WMARoad, WMAWRTime, WMASex, WMAAge, WMAFactor) VALUES (6.437, 1, 1140, 'F', 41, 0.9637);</t>
  </si>
  <si>
    <t>INSERT INTO tblWMA (WMADistance, WMARoad, WMAWRTime, WMASex, WMAAge, WMAFactor) VALUES (6.437, 1, 1140, 'F', 42, 0.9574);</t>
  </si>
  <si>
    <t>INSERT INTO tblWMA (WMADistance, WMARoad, WMAWRTime, WMASex, WMAAge, WMAFactor) VALUES (6.437, 1, 1140, 'F', 43, 0.9506);</t>
  </si>
  <si>
    <t>INSERT INTO tblWMA (WMADistance, WMARoad, WMAWRTime, WMASex, WMAAge, WMAFactor) VALUES (6.437, 1, 1140, 'F', 44, 0.9433);</t>
  </si>
  <si>
    <t>INSERT INTO tblWMA (WMADistance, WMARoad, WMAWRTime, WMASex, WMAAge, WMAFactor) VALUES (6.437, 1, 1140, 'F', 45, 0.9355);</t>
  </si>
  <si>
    <t>INSERT INTO tblWMA (WMADistance, WMARoad, WMAWRTime, WMASex, WMAAge, WMAFactor) VALUES (6.437, 1, 1140, 'F', 46, 0.9272);</t>
  </si>
  <si>
    <t>INSERT INTO tblWMA (WMADistance, WMARoad, WMAWRTime, WMASex, WMAAge, WMAFactor) VALUES (6.437, 1, 1140, 'F', 47, 0.9184);</t>
  </si>
  <si>
    <t>INSERT INTO tblWMA (WMADistance, WMARoad, WMAWRTime, WMASex, WMAAge, WMAFactor) VALUES (6.437, 1, 1140, 'F', 48, 0.9091);</t>
  </si>
  <si>
    <t>INSERT INTO tblWMA (WMADistance, WMARoad, WMAWRTime, WMASex, WMAAge, WMAFactor) VALUES (6.437, 1, 1140, 'F', 49, 0.8993);</t>
  </si>
  <si>
    <t>INSERT INTO tblWMA (WMADistance, WMARoad, WMAWRTime, WMASex, WMAAge, WMAFactor) VALUES (6.437, 1, 1140, 'F', 50, 0.8895);</t>
  </si>
  <si>
    <t>INSERT INTO tblWMA (WMADistance, WMARoad, WMAWRTime, WMASex, WMAAge, WMAFactor) VALUES (6.437, 1, 1140, 'F', 51, 0.8798);</t>
  </si>
  <si>
    <t>INSERT INTO tblWMA (WMADistance, WMARoad, WMAWRTime, WMASex, WMAAge, WMAFactor) VALUES (6.437, 1, 1140, 'F', 52, 0.87);</t>
  </si>
  <si>
    <t>INSERT INTO tblWMA (WMADistance, WMARoad, WMAWRTime, WMASex, WMAAge, WMAFactor) VALUES (6.437, 1, 1140, 'F', 53, 0.8602);</t>
  </si>
  <si>
    <t>INSERT INTO tblWMA (WMADistance, WMARoad, WMAWRTime, WMASex, WMAAge, WMAFactor) VALUES (6.437, 1, 1140, 'F', 54, 0.8504);</t>
  </si>
  <si>
    <t>INSERT INTO tblWMA (WMADistance, WMARoad, WMAWRTime, WMASex, WMAAge, WMAFactor) VALUES (6.437, 1, 1140, 'F', 55, 0.8406);</t>
  </si>
  <si>
    <t>INSERT INTO tblWMA (WMADistance, WMARoad, WMAWRTime, WMASex, WMAAge, WMAFactor) VALUES (6.437, 1, 1140, 'F', 56, 0.8308);</t>
  </si>
  <si>
    <t>INSERT INTO tblWMA (WMADistance, WMARoad, WMAWRTime, WMASex, WMAAge, WMAFactor) VALUES (6.437, 1, 1140, 'F', 57, 0.821);</t>
  </si>
  <si>
    <t>INSERT INTO tblWMA (WMADistance, WMARoad, WMAWRTime, WMASex, WMAAge, WMAFactor) VALUES (6.437, 1, 1140, 'F', 58, 0.8112);</t>
  </si>
  <si>
    <t>INSERT INTO tblWMA (WMADistance, WMARoad, WMAWRTime, WMASex, WMAAge, WMAFactor) VALUES (6.437, 1, 1140, 'F', 59, 0.8014);</t>
  </si>
  <si>
    <t>INSERT INTO tblWMA (WMADistance, WMARoad, WMAWRTime, WMASex, WMAAge, WMAFactor) VALUES (6.437, 1, 1140, 'F', 60, 0.7916);</t>
  </si>
  <si>
    <t>INSERT INTO tblWMA (WMADistance, WMARoad, WMAWRTime, WMASex, WMAAge, WMAFactor) VALUES (6.437, 1, 1140, 'F', 61, 0.7818);</t>
  </si>
  <si>
    <t>INSERT INTO tblWMA (WMADistance, WMARoad, WMAWRTime, WMASex, WMAAge, WMAFactor) VALUES (6.437, 1, 1140, 'F', 62, 0.772);</t>
  </si>
  <si>
    <t>INSERT INTO tblWMA (WMADistance, WMARoad, WMAWRTime, WMASex, WMAAge, WMAFactor) VALUES (6.437, 1, 1140, 'F', 63, 0.7622);</t>
  </si>
  <si>
    <t>INSERT INTO tblWMA (WMADistance, WMARoad, WMAWRTime, WMASex, WMAAge, WMAFactor) VALUES (6.437, 1, 1140, 'F', 64, 0.7524);</t>
  </si>
  <si>
    <t>INSERT INTO tblWMA (WMADistance, WMARoad, WMAWRTime, WMASex, WMAAge, WMAFactor) VALUES (6.437, 1, 1140, 'F', 65, 0.7426);</t>
  </si>
  <si>
    <t>INSERT INTO tblWMA (WMADistance, WMARoad, WMAWRTime, WMASex, WMAAge, WMAFactor) VALUES (6.437, 1, 1140, 'F', 66, 0.7328);</t>
  </si>
  <si>
    <t>INSERT INTO tblWMA (WMADistance, WMARoad, WMAWRTime, WMASex, WMAAge, WMAFactor) VALUES (6.437, 1, 1140, 'F', 67, 0.723);</t>
  </si>
  <si>
    <t>INSERT INTO tblWMA (WMADistance, WMARoad, WMAWRTime, WMASex, WMAAge, WMAFactor) VALUES (6.437, 1, 1140, 'F', 68, 0.7133);</t>
  </si>
  <si>
    <t>INSERT INTO tblWMA (WMADistance, WMARoad, WMAWRTime, WMASex, WMAAge, WMAFactor) VALUES (6.437, 1, 1140, 'F', 69, 0.7035);</t>
  </si>
  <si>
    <t>INSERT INTO tblWMA (WMADistance, WMARoad, WMAWRTime, WMASex, WMAAge, WMAFactor) VALUES (6.437, 1, 1140, 'F', 70, 0.6937);</t>
  </si>
  <si>
    <t>INSERT INTO tblWMA (WMADistance, WMARoad, WMAWRTime, WMASex, WMAAge, WMAFactor) VALUES (6.437, 1, 1140, 'F', 71, 0.6839);</t>
  </si>
  <si>
    <t>INSERT INTO tblWMA (WMADistance, WMARoad, WMAWRTime, WMASex, WMAAge, WMAFactor) VALUES (6.437, 1, 1140, 'F', 72, 0.6741);</t>
  </si>
  <si>
    <t>INSERT INTO tblWMA (WMADistance, WMARoad, WMAWRTime, WMASex, WMAAge, WMAFactor) VALUES (6.437, 1, 1140, 'F', 73, 0.6643);</t>
  </si>
  <si>
    <t>INSERT INTO tblWMA (WMADistance, WMARoad, WMAWRTime, WMASex, WMAAge, WMAFactor) VALUES (6.437, 1, 1140, 'F', 74, 0.6545);</t>
  </si>
  <si>
    <t>INSERT INTO tblWMA (WMADistance, WMARoad, WMAWRTime, WMASex, WMAAge, WMAFactor) VALUES (6.437, 1, 1140, 'F', 75, 0.6447);</t>
  </si>
  <si>
    <t>INSERT INTO tblWMA (WMADistance, WMARoad, WMAWRTime, WMASex, WMAAge, WMAFactor) VALUES (6.437, 1, 1140, 'F', 76, 0.6349);</t>
  </si>
  <si>
    <t>INSERT INTO tblWMA (WMADistance, WMARoad, WMAWRTime, WMASex, WMAAge, WMAFactor) VALUES (6.437, 1, 1140, 'F', 77, 0.6251);</t>
  </si>
  <si>
    <t>INSERT INTO tblWMA (WMADistance, WMARoad, WMAWRTime, WMASex, WMAAge, WMAFactor) VALUES (6.437, 1, 1140, 'F', 78, 0.6151);</t>
  </si>
  <si>
    <t>INSERT INTO tblWMA (WMADistance, WMARoad, WMAWRTime, WMASex, WMAAge, WMAFactor) VALUES (6.437, 1, 1140, 'F', 79, 0.6041);</t>
  </si>
  <si>
    <t>INSERT INTO tblWMA (WMADistance, WMARoad, WMAWRTime, WMASex, WMAAge, WMAFactor) VALUES (6.437, 1, 1140, 'F', 80, 0.5924);</t>
  </si>
  <si>
    <t>INSERT INTO tblWMA (WMADistance, WMARoad, WMAWRTime, WMASex, WMAAge, WMAFactor) VALUES (6.437, 1, 1140, 'F', 81, 0.5797);</t>
  </si>
  <si>
    <t>INSERT INTO tblWMA (WMADistance, WMARoad, WMAWRTime, WMASex, WMAAge, WMAFactor) VALUES (6.437, 1, 1140, 'F', 82, 0.5662);</t>
  </si>
  <si>
    <t>INSERT INTO tblWMA (WMADistance, WMARoad, WMAWRTime, WMASex, WMAAge, WMAFactor) VALUES (6.437, 1, 1140, 'F', 83, 0.5518);</t>
  </si>
  <si>
    <t>INSERT INTO tblWMA (WMADistance, WMARoad, WMAWRTime, WMASex, WMAAge, WMAFactor) VALUES (6.437, 1, 1140, 'F', 84, 0.5365);</t>
  </si>
  <si>
    <t>INSERT INTO tblWMA (WMADistance, WMARoad, WMAWRTime, WMASex, WMAAge, WMAFactor) VALUES (6.437, 1, 1140, 'F', 85, 0.5203);</t>
  </si>
  <si>
    <t>INSERT INTO tblWMA (WMADistance, WMARoad, WMAWRTime, WMASex, WMAAge, WMAFactor) VALUES (6.437, 1, 1140, 'F', 86, 0.5033);</t>
  </si>
  <si>
    <t>INSERT INTO tblWMA (WMADistance, WMARoad, WMAWRTime, WMASex, WMAAge, WMAFactor) VALUES (6.437, 1, 1140, 'F', 87, 0.4854);</t>
  </si>
  <si>
    <t>INSERT INTO tblWMA (WMADistance, WMARoad, WMAWRTime, WMASex, WMAAge, WMAFactor) VALUES (6.437, 1, 1140, 'F', 88, 0.4666);</t>
  </si>
  <si>
    <t>INSERT INTO tblWMA (WMADistance, WMARoad, WMAWRTime, WMASex, WMAAge, WMAFactor) VALUES (6.437, 1, 1140, 'F', 89, 0.447);</t>
  </si>
  <si>
    <t>INSERT INTO tblWMA (WMADistance, WMARoad, WMAWRTime, WMASex, WMAAge, WMAFactor) VALUES (6.437, 1, 1140, 'F', 90, 0.4264);</t>
  </si>
  <si>
    <t>INSERT INTO tblWMA (WMADistance, WMARoad, WMAWRTime, WMASex, WMAAge, WMAFactor) VALUES (6.437, 1, 1140, 'F', 91, 0.405);</t>
  </si>
  <si>
    <t>INSERT INTO tblWMA (WMADistance, WMARoad, WMAWRTime, WMASex, WMAAge, WMAFactor) VALUES (6.437, 1, 1140, 'F', 92, 0.3828);</t>
  </si>
  <si>
    <t>INSERT INTO tblWMA (WMADistance, WMARoad, WMAWRTime, WMASex, WMAAge, WMAFactor) VALUES (6.437, 1, 1140, 'F', 93, 0.3596);</t>
  </si>
  <si>
    <t>INSERT INTO tblWMA (WMADistance, WMARoad, WMAWRTime, WMASex, WMAAge, WMAFactor) VALUES (6.437, 1, 1140, 'F', 94, 0.3356);</t>
  </si>
  <si>
    <t>INSERT INTO tblWMA (WMADistance, WMARoad, WMAWRTime, WMASex, WMAAge, WMAFactor) VALUES (6.437, 1, 1140, 'F', 95, 0.3107);</t>
  </si>
  <si>
    <t>INSERT INTO tblWMA (WMADistance, WMARoad, WMAWRTime, WMASex, WMAAge, WMAFactor) VALUES (6.437, 1, 1140, 'F', 96, 0.2849);</t>
  </si>
  <si>
    <t>INSERT INTO tblWMA (WMADistance, WMARoad, WMAWRTime, WMASex, WMAAge, WMAFactor) VALUES (6.437, 1, 1140, 'F', 97, 0.2583);</t>
  </si>
  <si>
    <t>INSERT INTO tblWMA (WMADistance, WMARoad, WMAWRTime, WMASex, WMAAge, WMAFactor) VALUES (6.437, 1, 1140, 'F', 98, 0.2307);</t>
  </si>
  <si>
    <t>INSERT INTO tblWMA (WMADistance, WMARoad, WMAWRTime, WMASex, WMAAge, WMAFactor) VALUES (6.437, 1, 1140, 'F', 99, 0.2023);</t>
  </si>
  <si>
    <t>INSERT INTO tblWMA (WMADistance, WMARoad, WMAWRTime, WMASex, WMAAge, WMAFactor) VALUES (6.437, 1, 1140, 'F', 100, 0.1731);</t>
  </si>
  <si>
    <t>INSERT INTO tblWMA (WMADistance, WMARoad, WMAWRTime, WMASex, WMAAge, WMAFactor) VALUES (8, 1, 1422, 'F', 5, 0.685);</t>
  </si>
  <si>
    <t>INSERT INTO tblWMA (WMADistance, WMARoad, WMAWRTime, WMASex, WMAAge, WMAFactor) VALUES (8, 1, 1422, 'F', 6, 0.7198);</t>
  </si>
  <si>
    <t>INSERT INTO tblWMA (WMADistance, WMARoad, WMAWRTime, WMASex, WMAAge, WMAFactor) VALUES (8, 1, 1422, 'F', 7, 0.7526);</t>
  </si>
  <si>
    <t>INSERT INTO tblWMA (WMADistance, WMARoad, WMAWRTime, WMASex, WMAAge, WMAFactor) VALUES (8, 1, 1422, 'F', 8, 0.7835);</t>
  </si>
  <si>
    <t>INSERT INTO tblWMA (WMADistance, WMARoad, WMAWRTime, WMASex, WMAAge, WMAFactor) VALUES (8, 1, 1422, 'F', 9, 0.8124);</t>
  </si>
  <si>
    <t>INSERT INTO tblWMA (WMADistance, WMARoad, WMAWRTime, WMASex, WMAAge, WMAFactor) VALUES (8, 1, 1422, 'F', 10, 0.8393);</t>
  </si>
  <si>
    <t>INSERT INTO tblWMA (WMADistance, WMARoad, WMAWRTime, WMASex, WMAAge, WMAFactor) VALUES (8, 1, 1422, 'F', 11, 0.8642);</t>
  </si>
  <si>
    <t>INSERT INTO tblWMA (WMADistance, WMARoad, WMAWRTime, WMASex, WMAAge, WMAFactor) VALUES (8, 1, 1422, 'F', 12, 0.8871);</t>
  </si>
  <si>
    <t>INSERT INTO tblWMA (WMADistance, WMARoad, WMAWRTime, WMASex, WMAAge, WMAFactor) VALUES (8, 1, 1422, 'F', 13, 0.908);</t>
  </si>
  <si>
    <t>INSERT INTO tblWMA (WMADistance, WMARoad, WMAWRTime, WMASex, WMAAge, WMAFactor) VALUES (8, 1, 1422, 'F', 14, 0.927);</t>
  </si>
  <si>
    <t>INSERT INTO tblWMA (WMADistance, WMARoad, WMAWRTime, WMASex, WMAAge, WMAFactor) VALUES (8, 1, 1422, 'F', 15, 0.944);</t>
  </si>
  <si>
    <t>INSERT INTO tblWMA (WMADistance, WMARoad, WMAWRTime, WMASex, WMAAge, WMAFactor) VALUES (8, 1, 1422, 'F', 16, 0.96);</t>
  </si>
  <si>
    <t>INSERT INTO tblWMA (WMADistance, WMARoad, WMAWRTime, WMASex, WMAAge, WMAFactor) VALUES (8, 1, 1422, 'F', 17, 0.976);</t>
  </si>
  <si>
    <t>INSERT INTO tblWMA (WMADistance, WMARoad, WMAWRTime, WMASex, WMAAge, WMAFactor) VALUES (8, 1, 1422, 'F', 18, 0.9893);</t>
  </si>
  <si>
    <t>INSERT INTO tblWMA (WMADistance, WMARoad, WMAWRTime, WMASex, WMAAge, WMAFactor) VALUES (8, 1, 1422, 'F', 19, 0.9973);</t>
  </si>
  <si>
    <t>INSERT INTO tblWMA (WMADistance, WMARoad, WMAWRTime, WMASex, WMAAge, WMAFactor) VALUES (8, 1, 1422, 'F', 20, 1);</t>
  </si>
  <si>
    <t>INSERT INTO tblWMA (WMADistance, WMARoad, WMAWRTime, WMASex, WMAAge, WMAFactor) VALUES (8, 1, 1422, 'F', 21, 1);</t>
  </si>
  <si>
    <t>INSERT INTO tblWMA (WMADistance, WMARoad, WMAWRTime, WMASex, WMAAge, WMAFactor) VALUES (8, 1, 1422, 'F', 22, 1);</t>
  </si>
  <si>
    <t>INSERT INTO tblWMA (WMADistance, WMARoad, WMAWRTime, WMASex, WMAAge, WMAFactor) VALUES (8, 1, 1422, 'F', 23, 1);</t>
  </si>
  <si>
    <t>INSERT INTO tblWMA (WMADistance, WMARoad, WMAWRTime, WMASex, WMAAge, WMAFactor) VALUES (8, 1, 1422, 'F', 24, 1);</t>
  </si>
  <si>
    <t>INSERT INTO tblWMA (WMADistance, WMARoad, WMAWRTime, WMASex, WMAAge, WMAFactor) VALUES (8, 1, 1422, 'F', 25, 1);</t>
  </si>
  <si>
    <t>INSERT INTO tblWMA (WMADistance, WMARoad, WMAWRTime, WMASex, WMAAge, WMAFactor) VALUES (8, 1, 1422, 'F', 26, 1);</t>
  </si>
  <si>
    <t>INSERT INTO tblWMA (WMADistance, WMARoad, WMAWRTime, WMASex, WMAAge, WMAFactor) VALUES (8, 1, 1422, 'F', 27, 1);</t>
  </si>
  <si>
    <t>INSERT INTO tblWMA (WMADistance, WMARoad, WMAWRTime, WMASex, WMAAge, WMAFactor) VALUES (8, 1, 1422, 'F', 28, 1);</t>
  </si>
  <si>
    <t>INSERT INTO tblWMA (WMADistance, WMARoad, WMAWRTime, WMASex, WMAAge, WMAFactor) VALUES (8, 1, 1422, 'F', 29, 0.9998);</t>
  </si>
  <si>
    <t>INSERT INTO tblWMA (WMADistance, WMARoad, WMAWRTime, WMASex, WMAAge, WMAFactor) VALUES (8, 1, 1422, 'F', 30, 0.9991);</t>
  </si>
  <si>
    <t>INSERT INTO tblWMA (WMADistance, WMARoad, WMAWRTime, WMASex, WMAAge, WMAFactor) VALUES (8, 1, 1422, 'F', 31, 0.9979);</t>
  </si>
  <si>
    <t>INSERT INTO tblWMA (WMADistance, WMARoad, WMAWRTime, WMASex, WMAAge, WMAFactor) VALUES (8, 1, 1422, 'F', 32, 0.9962);</t>
  </si>
  <si>
    <t>INSERT INTO tblWMA (WMADistance, WMARoad, WMAWRTime, WMASex, WMAAge, WMAFactor) VALUES (8, 1, 1422, 'F', 33, 0.9941);</t>
  </si>
  <si>
    <t>INSERT INTO tblWMA (WMADistance, WMARoad, WMAWRTime, WMASex, WMAAge, WMAFactor) VALUES (8, 1, 1422, 'F', 34, 0.9915);</t>
  </si>
  <si>
    <t>INSERT INTO tblWMA (WMADistance, WMARoad, WMAWRTime, WMASex, WMAAge, WMAFactor) VALUES (8, 1, 1422, 'F', 35, 0.9884);</t>
  </si>
  <si>
    <t>INSERT INTO tblWMA (WMADistance, WMARoad, WMAWRTime, WMASex, WMAAge, WMAFactor) VALUES (8, 1, 1422, 'F', 36, 0.9849);</t>
  </si>
  <si>
    <t>INSERT INTO tblWMA (WMADistance, WMARoad, WMAWRTime, WMASex, WMAAge, WMAFactor) VALUES (8, 1, 1422, 'F', 37, 0.9809);</t>
  </si>
  <si>
    <t>INSERT INTO tblWMA (WMADistance, WMARoad, WMAWRTime, WMASex, WMAAge, WMAFactor) VALUES (8, 1, 1422, 'F', 38, 0.9764);</t>
  </si>
  <si>
    <t>INSERT INTO tblWMA (WMADistance, WMARoad, WMAWRTime, WMASex, WMAAge, WMAFactor) VALUES (8, 1, 1422, 'F', 39, 0.9714);</t>
  </si>
  <si>
    <t>INSERT INTO tblWMA (WMADistance, WMARoad, WMAWRTime, WMASex, WMAAge, WMAFactor) VALUES (8, 1, 1422, 'F', 40, 0.966);</t>
  </si>
  <si>
    <t>INSERT INTO tblWMA (WMADistance, WMARoad, WMAWRTime, WMASex, WMAAge, WMAFactor) VALUES (8, 1, 1422, 'F', 41, 0.9601);</t>
  </si>
  <si>
    <t>INSERT INTO tblWMA (WMADistance, WMARoad, WMAWRTime, WMASex, WMAAge, WMAFactor) VALUES (8, 1, 1422, 'F', 42, 0.9537);</t>
  </si>
  <si>
    <t>INSERT INTO tblWMA (WMADistance, WMARoad, WMAWRTime, WMASex, WMAAge, WMAFactor) VALUES (8, 1, 1422, 'F', 43, 0.9468);</t>
  </si>
  <si>
    <t>INSERT INTO tblWMA (WMADistance, WMARoad, WMAWRTime, WMASex, WMAAge, WMAFactor) VALUES (8, 1, 1422, 'F', 44, 0.9395);</t>
  </si>
  <si>
    <t>INSERT INTO tblWMA (WMADistance, WMARoad, WMAWRTime, WMASex, WMAAge, WMAFactor) VALUES (8, 1, 1422, 'F', 45, 0.9317);</t>
  </si>
  <si>
    <t>INSERT INTO tblWMA (WMADistance, WMARoad, WMAWRTime, WMASex, WMAAge, WMAFactor) VALUES (8, 1, 1422, 'F', 46, 0.9234);</t>
  </si>
  <si>
    <t>INSERT INTO tblWMA (WMADistance, WMARoad, WMAWRTime, WMASex, WMAAge, WMAFactor) VALUES (8, 1, 1422, 'F', 47, 0.9147);</t>
  </si>
  <si>
    <t>INSERT INTO tblWMA (WMADistance, WMARoad, WMAWRTime, WMASex, WMAAge, WMAFactor) VALUES (8, 1, 1422, 'F', 48, 0.9055);</t>
  </si>
  <si>
    <t>INSERT INTO tblWMA (WMADistance, WMARoad, WMAWRTime, WMASex, WMAAge, WMAFactor) VALUES (8, 1, 1422, 'F', 49, 0.8958);</t>
  </si>
  <si>
    <t>INSERT INTO tblWMA (WMADistance, WMARoad, WMAWRTime, WMASex, WMAAge, WMAFactor) VALUES (8, 1, 1422, 'F', 50, 0.8859);</t>
  </si>
  <si>
    <t>INSERT INTO tblWMA (WMADistance, WMARoad, WMAWRTime, WMASex, WMAAge, WMAFactor) VALUES (8, 1, 1422, 'F', 51, 0.8761);</t>
  </si>
  <si>
    <t>INSERT INTO tblWMA (WMADistance, WMARoad, WMAWRTime, WMASex, WMAAge, WMAFactor) VALUES (8, 1, 1422, 'F', 52, 0.8662);</t>
  </si>
  <si>
    <t>INSERT INTO tblWMA (WMADistance, WMARoad, WMAWRTime, WMASex, WMAAge, WMAFactor) VALUES (8, 1, 1422, 'F', 53, 0.8563);</t>
  </si>
  <si>
    <t>INSERT INTO tblWMA (WMADistance, WMARoad, WMAWRTime, WMASex, WMAAge, WMAFactor) VALUES (8, 1, 1422, 'F', 54, 0.8465);</t>
  </si>
  <si>
    <t>INSERT INTO tblWMA (WMADistance, WMARoad, WMAWRTime, WMASex, WMAAge, WMAFactor) VALUES (8, 1, 1422, 'F', 55, 0.8366);</t>
  </si>
  <si>
    <t>INSERT INTO tblWMA (WMADistance, WMARoad, WMAWRTime, WMASex, WMAAge, WMAFactor) VALUES (8, 1, 1422, 'F', 56, 0.8268);</t>
  </si>
  <si>
    <t>INSERT INTO tblWMA (WMADistance, WMARoad, WMAWRTime, WMASex, WMAAge, WMAFactor) VALUES (8, 1, 1422, 'F', 57, 0.8169);</t>
  </si>
  <si>
    <t>INSERT INTO tblWMA (WMADistance, WMARoad, WMAWRTime, WMASex, WMAAge, WMAFactor) VALUES (8, 1, 1422, 'F', 58, 0.807);</t>
  </si>
  <si>
    <t>INSERT INTO tblWMA (WMADistance, WMARoad, WMAWRTime, WMASex, WMAAge, WMAFactor) VALUES (8, 1, 1422, 'F', 59, 0.7972);</t>
  </si>
  <si>
    <t>INSERT INTO tblWMA (WMADistance, WMARoad, WMAWRTime, WMASex, WMAAge, WMAFactor) VALUES (8, 1, 1422, 'F', 60, 0.7873);</t>
  </si>
  <si>
    <t>INSERT INTO tblWMA (WMADistance, WMARoad, WMAWRTime, WMASex, WMAAge, WMAFactor) VALUES (8, 1, 1422, 'F', 61, 0.7774);</t>
  </si>
  <si>
    <t>INSERT INTO tblWMA (WMADistance, WMARoad, WMAWRTime, WMASex, WMAAge, WMAFactor) VALUES (8, 1, 1422, 'F', 62, 0.7676);</t>
  </si>
  <si>
    <t>INSERT INTO tblWMA (WMADistance, WMARoad, WMAWRTime, WMASex, WMAAge, WMAFactor) VALUES (8, 1, 1422, 'F', 63, 0.7577);</t>
  </si>
  <si>
    <t>INSERT INTO tblWMA (WMADistance, WMARoad, WMAWRTime, WMASex, WMAAge, WMAFactor) VALUES (8, 1, 1422, 'F', 64, 0.7478);</t>
  </si>
  <si>
    <t>INSERT INTO tblWMA (WMADistance, WMARoad, WMAWRTime, WMASex, WMAAge, WMAFactor) VALUES (8, 1, 1422, 'F', 65, 0.738);</t>
  </si>
  <si>
    <t>INSERT INTO tblWMA (WMADistance, WMARoad, WMAWRTime, WMASex, WMAAge, WMAFactor) VALUES (8, 1, 1422, 'F', 66, 0.7281);</t>
  </si>
  <si>
    <t>INSERT INTO tblWMA (WMADistance, WMARoad, WMAWRTime, WMASex, WMAAge, WMAFactor) VALUES (8, 1, 1422, 'F', 67, 0.7182);</t>
  </si>
  <si>
    <t>INSERT INTO tblWMA (WMADistance, WMARoad, WMAWRTime, WMASex, WMAAge, WMAFactor) VALUES (8, 1, 1422, 'F', 68, 0.7084);</t>
  </si>
  <si>
    <t>INSERT INTO tblWMA (WMADistance, WMARoad, WMAWRTime, WMASex, WMAAge, WMAFactor) VALUES (8, 1, 1422, 'F', 69, 0.6985);</t>
  </si>
  <si>
    <t>INSERT INTO tblWMA (WMADistance, WMARoad, WMAWRTime, WMASex, WMAAge, WMAFactor) VALUES (8, 1, 1422, 'F', 70, 0.6886);</t>
  </si>
  <si>
    <t>INSERT INTO tblWMA (WMADistance, WMARoad, WMAWRTime, WMASex, WMAAge, WMAFactor) VALUES (8, 1, 1422, 'F', 71, 0.6788);</t>
  </si>
  <si>
    <t>INSERT INTO tblWMA (WMADistance, WMARoad, WMAWRTime, WMASex, WMAAge, WMAFactor) VALUES (8, 1, 1422, 'F', 72, 0.6689);</t>
  </si>
  <si>
    <t>INSERT INTO tblWMA (WMADistance, WMARoad, WMAWRTime, WMASex, WMAAge, WMAFactor) VALUES (8, 1, 1422, 'F', 73, 0.659);</t>
  </si>
  <si>
    <t>INSERT INTO tblWMA (WMADistance, WMARoad, WMAWRTime, WMASex, WMAAge, WMAFactor) VALUES (8, 1, 1422, 'F', 74, 0.6492);</t>
  </si>
  <si>
    <t>INSERT INTO tblWMA (WMADistance, WMARoad, WMAWRTime, WMASex, WMAAge, WMAFactor) VALUES (8, 1, 1422, 'F', 75, 0.6393);</t>
  </si>
  <si>
    <t>INSERT INTO tblWMA (WMADistance, WMARoad, WMAWRTime, WMASex, WMAAge, WMAFactor) VALUES (8, 1, 1422, 'F', 76, 0.6294);</t>
  </si>
  <si>
    <t>INSERT INTO tblWMA (WMADistance, WMARoad, WMAWRTime, WMASex, WMAAge, WMAFactor) VALUES (8, 1, 1422, 'F', 77, 0.6193);</t>
  </si>
  <si>
    <t>INSERT INTO tblWMA (WMADistance, WMARoad, WMAWRTime, WMASex, WMAAge, WMAFactor) VALUES (8, 1, 1422, 'F', 78, 0.6083);</t>
  </si>
  <si>
    <t>INSERT INTO tblWMA (WMADistance, WMARoad, WMAWRTime, WMASex, WMAAge, WMAFactor) VALUES (8, 1, 1422, 'F', 79, 0.5965);</t>
  </si>
  <si>
    <t>INSERT INTO tblWMA (WMADistance, WMARoad, WMAWRTime, WMASex, WMAAge, WMAFactor) VALUES (8, 1, 1422, 'F', 80, 0.5838);</t>
  </si>
  <si>
    <t>INSERT INTO tblWMA (WMADistance, WMARoad, WMAWRTime, WMASex, WMAAge, WMAFactor) VALUES (8, 1, 1422, 'F', 81, 0.5704);</t>
  </si>
  <si>
    <t>INSERT INTO tblWMA (WMADistance, WMARoad, WMAWRTime, WMASex, WMAAge, WMAFactor) VALUES (8, 1, 1422, 'F', 82, 0.5561);</t>
  </si>
  <si>
    <t>INSERT INTO tblWMA (WMADistance, WMARoad, WMAWRTime, WMASex, WMAAge, WMAFactor) VALUES (8, 1, 1422, 'F', 83, 0.541);</t>
  </si>
  <si>
    <t>INSERT INTO tblWMA (WMADistance, WMARoad, WMAWRTime, WMASex, WMAAge, WMAFactor) VALUES (8, 1, 1422, 'F', 84, 0.5252);</t>
  </si>
  <si>
    <t>INSERT INTO tblWMA (WMADistance, WMARoad, WMAWRTime, WMASex, WMAAge, WMAFactor) VALUES (8, 1, 1422, 'F', 85, 0.5084);</t>
  </si>
  <si>
    <t>INSERT INTO tblWMA (WMADistance, WMARoad, WMAWRTime, WMASex, WMAAge, WMAFactor) VALUES (8, 1, 1422, 'F', 86, 0.4909);</t>
  </si>
  <si>
    <t>INSERT INTO tblWMA (WMADistance, WMARoad, WMAWRTime, WMASex, WMAAge, WMAFactor) VALUES (8, 1, 1422, 'F', 87, 0.4726);</t>
  </si>
  <si>
    <t>INSERT INTO tblWMA (WMADistance, WMARoad, WMAWRTime, WMASex, WMAAge, WMAFactor) VALUES (8, 1, 1422, 'F', 88, 0.4534);</t>
  </si>
  <si>
    <t>INSERT INTO tblWMA (WMADistance, WMARoad, WMAWRTime, WMASex, WMAAge, WMAFactor) VALUES (8, 1, 1422, 'F', 89, 0.4334);</t>
  </si>
  <si>
    <t>INSERT INTO tblWMA (WMADistance, WMARoad, WMAWRTime, WMASex, WMAAge, WMAFactor) VALUES (8, 1, 1422, 'F', 90, 0.4126);</t>
  </si>
  <si>
    <t>INSERT INTO tblWMA (WMADistance, WMARoad, WMAWRTime, WMASex, WMAAge, WMAFactor) VALUES (8, 1, 1422, 'F', 91, 0.391);</t>
  </si>
  <si>
    <t>INSERT INTO tblWMA (WMADistance, WMARoad, WMAWRTime, WMASex, WMAAge, WMAFactor) VALUES (8, 1, 1422, 'F', 92, 0.3685);</t>
  </si>
  <si>
    <t>INSERT INTO tblWMA (WMADistance, WMARoad, WMAWRTime, WMASex, WMAAge, WMAFactor) VALUES (8, 1, 1422, 'F', 93, 0.3453);</t>
  </si>
  <si>
    <t>INSERT INTO tblWMA (WMADistance, WMARoad, WMAWRTime, WMASex, WMAAge, WMAFactor) VALUES (8, 1, 1422, 'F', 94, 0.3212);</t>
  </si>
  <si>
    <t>INSERT INTO tblWMA (WMADistance, WMARoad, WMAWRTime, WMASex, WMAAge, WMAFactor) VALUES (8, 1, 1422, 'F', 95, 0.2963);</t>
  </si>
  <si>
    <t>INSERT INTO tblWMA (WMADistance, WMARoad, WMAWRTime, WMASex, WMAAge, WMAFactor) VALUES (8, 1, 1422, 'F', 96, 0.2706);</t>
  </si>
  <si>
    <t>INSERT INTO tblWMA (WMADistance, WMARoad, WMAWRTime, WMASex, WMAAge, WMAFactor) VALUES (8, 1, 1422, 'F', 97, 0.2441);</t>
  </si>
  <si>
    <t>INSERT INTO tblWMA (WMADistance, WMARoad, WMAWRTime, WMASex, WMAAge, WMAFactor) VALUES (8, 1, 1422, 'F', 98, 0.2167);</t>
  </si>
  <si>
    <t>INSERT INTO tblWMA (WMADistance, WMARoad, WMAWRTime, WMASex, WMAAge, WMAFactor) VALUES (8, 1, 1422, 'F', 99, 0.1885);</t>
  </si>
  <si>
    <t>INSERT INTO tblWMA (WMADistance, WMARoad, WMAWRTime, WMASex, WMAAge, WMAFactor) VALUES (8, 1, 1422, 'F', 100, 0.1596);</t>
  </si>
  <si>
    <t>INSERT INTO tblWMA (WMADistance, WMARoad, WMAWRTime, WMASex, WMAAge, WMAFactor) VALUES (8.047, 1, 1430, 'F', 5, 0.685);</t>
  </si>
  <si>
    <t>INSERT INTO tblWMA (WMADistance, WMARoad, WMAWRTime, WMASex, WMAAge, WMAFactor) VALUES (8.047, 1, 1430, 'F', 6, 0.7198);</t>
  </si>
  <si>
    <t>INSERT INTO tblWMA (WMADistance, WMARoad, WMAWRTime, WMASex, WMAAge, WMAFactor) VALUES (8.047, 1, 1430, 'F', 7, 0.7526);</t>
  </si>
  <si>
    <t>INSERT INTO tblWMA (WMADistance, WMARoad, WMAWRTime, WMASex, WMAAge, WMAFactor) VALUES (8.047, 1, 1430, 'F', 8, 0.7835);</t>
  </si>
  <si>
    <t>INSERT INTO tblWMA (WMADistance, WMARoad, WMAWRTime, WMASex, WMAAge, WMAFactor) VALUES (8.047, 1, 1430, 'F', 9, 0.8124);</t>
  </si>
  <si>
    <t>INSERT INTO tblWMA (WMADistance, WMARoad, WMAWRTime, WMASex, WMAAge, WMAFactor) VALUES (8.047, 1, 1430, 'F', 10, 0.8393);</t>
  </si>
  <si>
    <t>INSERT INTO tblWMA (WMADistance, WMARoad, WMAWRTime, WMASex, WMAAge, WMAFactor) VALUES (8.047, 1, 1430, 'F', 11, 0.8642);</t>
  </si>
  <si>
    <t>INSERT INTO tblWMA (WMADistance, WMARoad, WMAWRTime, WMASex, WMAAge, WMAFactor) VALUES (8.047, 1, 1430, 'F', 12, 0.8871);</t>
  </si>
  <si>
    <t>INSERT INTO tblWMA (WMADistance, WMARoad, WMAWRTime, WMASex, WMAAge, WMAFactor) VALUES (8.047, 1, 1430, 'F', 13, 0.908);</t>
  </si>
  <si>
    <t>INSERT INTO tblWMA (WMADistance, WMARoad, WMAWRTime, WMASex, WMAAge, WMAFactor) VALUES (8.047, 1, 1430, 'F', 14, 0.927);</t>
  </si>
  <si>
    <t>INSERT INTO tblWMA (WMADistance, WMARoad, WMAWRTime, WMASex, WMAAge, WMAFactor) VALUES (8.047, 1, 1430, 'F', 15, 0.944);</t>
  </si>
  <si>
    <t>INSERT INTO tblWMA (WMADistance, WMARoad, WMAWRTime, WMASex, WMAAge, WMAFactor) VALUES (8.047, 1, 1430, 'F', 16, 0.96);</t>
  </si>
  <si>
    <t>INSERT INTO tblWMA (WMADistance, WMARoad, WMAWRTime, WMASex, WMAAge, WMAFactor) VALUES (8.047, 1, 1430, 'F', 17, 0.976);</t>
  </si>
  <si>
    <t>INSERT INTO tblWMA (WMADistance, WMARoad, WMAWRTime, WMASex, WMAAge, WMAFactor) VALUES (8.047, 1, 1430, 'F', 18, 0.9893);</t>
  </si>
  <si>
    <t>INSERT INTO tblWMA (WMADistance, WMARoad, WMAWRTime, WMASex, WMAAge, WMAFactor) VALUES (8.047, 1, 1430, 'F', 19, 0.9973);</t>
  </si>
  <si>
    <t>INSERT INTO tblWMA (WMADistance, WMARoad, WMAWRTime, WMASex, WMAAge, WMAFactor) VALUES (8.047, 1, 1430, 'F', 20, 1);</t>
  </si>
  <si>
    <t>INSERT INTO tblWMA (WMADistance, WMARoad, WMAWRTime, WMASex, WMAAge, WMAFactor) VALUES (8.047, 1, 1430, 'F', 21, 1);</t>
  </si>
  <si>
    <t>INSERT INTO tblWMA (WMADistance, WMARoad, WMAWRTime, WMASex, WMAAge, WMAFactor) VALUES (8.047, 1, 1430, 'F', 22, 1);</t>
  </si>
  <si>
    <t>INSERT INTO tblWMA (WMADistance, WMARoad, WMAWRTime, WMASex, WMAAge, WMAFactor) VALUES (8.047, 1, 1430, 'F', 23, 1);</t>
  </si>
  <si>
    <t>INSERT INTO tblWMA (WMADistance, WMARoad, WMAWRTime, WMASex, WMAAge, WMAFactor) VALUES (8.047, 1, 1430, 'F', 24, 1);</t>
  </si>
  <si>
    <t>INSERT INTO tblWMA (WMADistance, WMARoad, WMAWRTime, WMASex, WMAAge, WMAFactor) VALUES (8.047, 1, 1430, 'F', 25, 1);</t>
  </si>
  <si>
    <t>INSERT INTO tblWMA (WMADistance, WMARoad, WMAWRTime, WMASex, WMAAge, WMAFactor) VALUES (8.047, 1, 1430, 'F', 26, 1);</t>
  </si>
  <si>
    <t>INSERT INTO tblWMA (WMADistance, WMARoad, WMAWRTime, WMASex, WMAAge, WMAFactor) VALUES (8.047, 1, 1430, 'F', 27, 1);</t>
  </si>
  <si>
    <t>INSERT INTO tblWMA (WMADistance, WMARoad, WMAWRTime, WMASex, WMAAge, WMAFactor) VALUES (8.047, 1, 1430, 'F', 28, 1);</t>
  </si>
  <si>
    <t>INSERT INTO tblWMA (WMADistance, WMARoad, WMAWRTime, WMASex, WMAAge, WMAFactor) VALUES (8.047, 1, 1430, 'F', 29, 0.9998);</t>
  </si>
  <si>
    <t>INSERT INTO tblWMA (WMADistance, WMARoad, WMAWRTime, WMASex, WMAAge, WMAFactor) VALUES (8.047, 1, 1430, 'F', 30, 0.999);</t>
  </si>
  <si>
    <t>INSERT INTO tblWMA (WMADistance, WMARoad, WMAWRTime, WMASex, WMAAge, WMAFactor) VALUES (8.047, 1, 1430, 'F', 31, 0.9978);</t>
  </si>
  <si>
    <t>INSERT INTO tblWMA (WMADistance, WMARoad, WMAWRTime, WMASex, WMAAge, WMAFactor) VALUES (8.047, 1, 1430, 'F', 32, 0.9962);</t>
  </si>
  <si>
    <t>INSERT INTO tblWMA (WMADistance, WMARoad, WMAWRTime, WMASex, WMAAge, WMAFactor) VALUES (8.047, 1, 1430, 'F', 33, 0.994);</t>
  </si>
  <si>
    <t>INSERT INTO tblWMA (WMADistance, WMARoad, WMAWRTime, WMASex, WMAAge, WMAFactor) VALUES (8.047, 1, 1430, 'F', 34, 0.9914);</t>
  </si>
  <si>
    <t>INSERT INTO tblWMA (WMADistance, WMARoad, WMAWRTime, WMASex, WMAAge, WMAFactor) VALUES (8.047, 1, 1430, 'F', 35, 0.9884);</t>
  </si>
  <si>
    <t>INSERT INTO tblWMA (WMADistance, WMARoad, WMAWRTime, WMASex, WMAAge, WMAFactor) VALUES (8.047, 1, 1430, 'F', 36, 0.9848);</t>
  </si>
  <si>
    <t>INSERT INTO tblWMA (WMADistance, WMARoad, WMAWRTime, WMASex, WMAAge, WMAFactor) VALUES (8.047, 1, 1430, 'F', 37, 0.9808);</t>
  </si>
  <si>
    <t>INSERT INTO tblWMA (WMADistance, WMARoad, WMAWRTime, WMASex, WMAAge, WMAFactor) VALUES (8.047, 1, 1430, 'F', 38, 0.9763);</t>
  </si>
  <si>
    <t>INSERT INTO tblWMA (WMADistance, WMARoad, WMAWRTime, WMASex, WMAAge, WMAFactor) VALUES (8.047, 1, 1430, 'F', 39, 0.9713);</t>
  </si>
  <si>
    <t>INSERT INTO tblWMA (WMADistance, WMARoad, WMAWRTime, WMASex, WMAAge, WMAFactor) VALUES (8.047, 1, 1430, 'F', 40, 0.9659);</t>
  </si>
  <si>
    <t>INSERT INTO tblWMA (WMADistance, WMARoad, WMAWRTime, WMASex, WMAAge, WMAFactor) VALUES (8.047, 1, 1430, 'F', 41, 0.96);</t>
  </si>
  <si>
    <t>INSERT INTO tblWMA (WMADistance, WMARoad, WMAWRTime, WMASex, WMAAge, WMAFactor) VALUES (8.047, 1, 1430, 'F', 42, 0.9536);</t>
  </si>
  <si>
    <t>INSERT INTO tblWMA (WMADistance, WMARoad, WMAWRTime, WMASex, WMAAge, WMAFactor) VALUES (8.047, 1, 1430, 'F', 43, 0.9467);</t>
  </si>
  <si>
    <t>INSERT INTO tblWMA (WMADistance, WMARoad, WMAWRTime, WMASex, WMAAge, WMAFactor) VALUES (8.047, 1, 1430, 'F', 44, 0.9394);</t>
  </si>
  <si>
    <t>INSERT INTO tblWMA (WMADistance, WMARoad, WMAWRTime, WMASex, WMAAge, WMAFactor) VALUES (8.047, 1, 1430, 'F', 45, 0.9316);</t>
  </si>
  <si>
    <t>INSERT INTO tblWMA (WMADistance, WMARoad, WMAWRTime, WMASex, WMAAge, WMAFactor) VALUES (8.047, 1, 1430, 'F', 46, 0.9233);</t>
  </si>
  <si>
    <t>INSERT INTO tblWMA (WMADistance, WMARoad, WMAWRTime, WMASex, WMAAge, WMAFactor) VALUES (8.047, 1, 1430, 'F', 47, 0.9146);</t>
  </si>
  <si>
    <t>INSERT INTO tblWMA (WMADistance, WMARoad, WMAWRTime, WMASex, WMAAge, WMAFactor) VALUES (8.047, 1, 1430, 'F', 48, 0.9054);</t>
  </si>
  <si>
    <t>INSERT INTO tblWMA (WMADistance, WMARoad, WMAWRTime, WMASex, WMAAge, WMAFactor) VALUES (8.047, 1, 1430, 'F', 49, 0.8957);</t>
  </si>
  <si>
    <t>INSERT INTO tblWMA (WMADistance, WMARoad, WMAWRTime, WMASex, WMAAge, WMAFactor) VALUES (8.047, 1, 1430, 'F', 50, 0.8858);</t>
  </si>
  <si>
    <t>INSERT INTO tblWMA (WMADistance, WMARoad, WMAWRTime, WMASex, WMAAge, WMAFactor) VALUES (8.047, 1, 1430, 'F', 51, 0.876);</t>
  </si>
  <si>
    <t>INSERT INTO tblWMA (WMADistance, WMARoad, WMAWRTime, WMASex, WMAAge, WMAFactor) VALUES (8.047, 1, 1430, 'F', 52, 0.8661);</t>
  </si>
  <si>
    <t>INSERT INTO tblWMA (WMADistance, WMARoad, WMAWRTime, WMASex, WMAAge, WMAFactor) VALUES (8.047, 1, 1430, 'F', 53, 0.8562);</t>
  </si>
  <si>
    <t>INSERT INTO tblWMA (WMADistance, WMARoad, WMAWRTime, WMASex, WMAAge, WMAFactor) VALUES (8.047, 1, 1430, 'F', 54, 0.8464);</t>
  </si>
  <si>
    <t>INSERT INTO tblWMA (WMADistance, WMARoad, WMAWRTime, WMASex, WMAAge, WMAFactor) VALUES (8.047, 1, 1430, 'F', 55, 0.8365);</t>
  </si>
  <si>
    <t>INSERT INTO tblWMA (WMADistance, WMARoad, WMAWRTime, WMASex, WMAAge, WMAFactor) VALUES (8.047, 1, 1430, 'F', 56, 0.8266);</t>
  </si>
  <si>
    <t>INSERT INTO tblWMA (WMADistance, WMARoad, WMAWRTime, WMASex, WMAAge, WMAFactor) VALUES (8.047, 1, 1430, 'F', 57, 0.8168);</t>
  </si>
  <si>
    <t>INSERT INTO tblWMA (WMADistance, WMARoad, WMAWRTime, WMASex, WMAAge, WMAFactor) VALUES (8.047, 1, 1430, 'F', 58, 0.8069);</t>
  </si>
  <si>
    <t>INSERT INTO tblWMA (WMADistance, WMARoad, WMAWRTime, WMASex, WMAAge, WMAFactor) VALUES (8.047, 1, 1430, 'F', 59, 0.797);</t>
  </si>
  <si>
    <t>INSERT INTO tblWMA (WMADistance, WMARoad, WMAWRTime, WMASex, WMAAge, WMAFactor) VALUES (8.047, 1, 1430, 'F', 60, 0.7872);</t>
  </si>
  <si>
    <t>INSERT INTO tblWMA (WMADistance, WMARoad, WMAWRTime, WMASex, WMAAge, WMAFactor) VALUES (8.047, 1, 1430, 'F', 61, 0.7773);</t>
  </si>
  <si>
    <t>INSERT INTO tblWMA (WMADistance, WMARoad, WMAWRTime, WMASex, WMAAge, WMAFactor) VALUES (8.047, 1, 1430, 'F', 62, 0.7674);</t>
  </si>
  <si>
    <t>INSERT INTO tblWMA (WMADistance, WMARoad, WMAWRTime, WMASex, WMAAge, WMAFactor) VALUES (8.047, 1, 1430, 'F', 63, 0.7576);</t>
  </si>
  <si>
    <t>INSERT INTO tblWMA (WMADistance, WMARoad, WMAWRTime, WMASex, WMAAge, WMAFactor) VALUES (8.047, 1, 1430, 'F', 64, 0.7477);</t>
  </si>
  <si>
    <t>INSERT INTO tblWMA (WMADistance, WMARoad, WMAWRTime, WMASex, WMAAge, WMAFactor) VALUES (8.047, 1, 1430, 'F', 65, 0.7378);</t>
  </si>
  <si>
    <t>INSERT INTO tblWMA (WMADistance, WMARoad, WMAWRTime, WMASex, WMAAge, WMAFactor) VALUES (8.047, 1, 1430, 'F', 66, 0.728);</t>
  </si>
  <si>
    <t>INSERT INTO tblWMA (WMADistance, WMARoad, WMAWRTime, WMASex, WMAAge, WMAFactor) VALUES (8.047, 1, 1430, 'F', 67, 0.7181);</t>
  </si>
  <si>
    <t>INSERT INTO tblWMA (WMADistance, WMARoad, WMAWRTime, WMASex, WMAAge, WMAFactor) VALUES (8.047, 1, 1430, 'F', 68, 0.7082);</t>
  </si>
  <si>
    <t>INSERT INTO tblWMA (WMADistance, WMARoad, WMAWRTime, WMASex, WMAAge, WMAFactor) VALUES (8.047, 1, 1430, 'F', 69, 0.6984);</t>
  </si>
  <si>
    <t>INSERT INTO tblWMA (WMADistance, WMARoad, WMAWRTime, WMASex, WMAAge, WMAFactor) VALUES (8.047, 1, 1430, 'F', 70, 0.6885);</t>
  </si>
  <si>
    <t>INSERT INTO tblWMA (WMADistance, WMARoad, WMAWRTime, WMASex, WMAAge, WMAFactor) VALUES (8.047, 1, 1430, 'F', 71, 0.6786);</t>
  </si>
  <si>
    <t>INSERT INTO tblWMA (WMADistance, WMARoad, WMAWRTime, WMASex, WMAAge, WMAFactor) VALUES (8.047, 1, 1430, 'F', 72, 0.6688);</t>
  </si>
  <si>
    <t>INSERT INTO tblWMA (WMADistance, WMARoad, WMAWRTime, WMASex, WMAAge, WMAFactor) VALUES (8.047, 1, 1430, 'F', 73, 0.6589);</t>
  </si>
  <si>
    <t>INSERT INTO tblWMA (WMADistance, WMARoad, WMAWRTime, WMASex, WMAAge, WMAFactor) VALUES (8.047, 1, 1430, 'F', 74, 0.649);</t>
  </si>
  <si>
    <t>INSERT INTO tblWMA (WMADistance, WMARoad, WMAWRTime, WMASex, WMAAge, WMAFactor) VALUES (8.047, 1, 1430, 'F', 75, 0.6392);</t>
  </si>
  <si>
    <t>INSERT INTO tblWMA (WMADistance, WMARoad, WMAWRTime, WMASex, WMAAge, WMAFactor) VALUES (8.047, 1, 1430, 'F', 76, 0.6293);</t>
  </si>
  <si>
    <t>INSERT INTO tblWMA (WMADistance, WMARoad, WMAWRTime, WMASex, WMAAge, WMAFactor) VALUES (8.047, 1, 1430, 'F', 77, 0.6191);</t>
  </si>
  <si>
    <t>INSERT INTO tblWMA (WMADistance, WMARoad, WMAWRTime, WMASex, WMAAge, WMAFactor) VALUES (8.047, 1, 1430, 'F', 78, 0.6081);</t>
  </si>
  <si>
    <t>INSERT INTO tblWMA (WMADistance, WMARoad, WMAWRTime, WMASex, WMAAge, WMAFactor) VALUES (8.047, 1, 1430, 'F', 79, 0.5962);</t>
  </si>
  <si>
    <t>INSERT INTO tblWMA (WMADistance, WMARoad, WMAWRTime, WMASex, WMAAge, WMAFactor) VALUES (8.047, 1, 1430, 'F', 80, 0.5836);</t>
  </si>
  <si>
    <t>INSERT INTO tblWMA (WMADistance, WMARoad, WMAWRTime, WMASex, WMAAge, WMAFactor) VALUES (8.047, 1, 1430, 'F', 81, 0.5701);</t>
  </si>
  <si>
    <t>INSERT INTO tblWMA (WMADistance, WMARoad, WMAWRTime, WMASex, WMAAge, WMAFactor) VALUES (8.047, 1, 1430, 'F', 82, 0.5559);</t>
  </si>
  <si>
    <t>INSERT INTO tblWMA (WMADistance, WMARoad, WMAWRTime, WMASex, WMAAge, WMAFactor) VALUES (8.047, 1, 1430, 'F', 83, 0.5408);</t>
  </si>
  <si>
    <t>INSERT INTO tblWMA (WMADistance, WMARoad, WMAWRTime, WMASex, WMAAge, WMAFactor) VALUES (8.047, 1, 1430, 'F', 84, 0.5248);</t>
  </si>
  <si>
    <t>INSERT INTO tblWMA (WMADistance, WMARoad, WMAWRTime, WMASex, WMAAge, WMAFactor) VALUES (8.047, 1, 1430, 'F', 85, 0.5081);</t>
  </si>
  <si>
    <t>INSERT INTO tblWMA (WMADistance, WMARoad, WMAWRTime, WMASex, WMAAge, WMAFactor) VALUES (8.047, 1, 1430, 'F', 86, 0.4906);</t>
  </si>
  <si>
    <t>INSERT INTO tblWMA (WMADistance, WMARoad, WMAWRTime, WMASex, WMAAge, WMAFactor) VALUES (8.047, 1, 1430, 'F', 87, 0.4722);</t>
  </si>
  <si>
    <t>INSERT INTO tblWMA (WMADistance, WMARoad, WMAWRTime, WMASex, WMAAge, WMAFactor) VALUES (8.047, 1, 1430, 'F', 88, 0.453);</t>
  </si>
  <si>
    <t>INSERT INTO tblWMA (WMADistance, WMARoad, WMAWRTime, WMASex, WMAAge, WMAFactor) VALUES (8.047, 1, 1430, 'F', 89, 0.433);</t>
  </si>
  <si>
    <t>INSERT INTO tblWMA (WMADistance, WMARoad, WMAWRTime, WMASex, WMAAge, WMAFactor) VALUES (8.047, 1, 1430, 'F', 90, 0.4122);</t>
  </si>
  <si>
    <t>INSERT INTO tblWMA (WMADistance, WMARoad, WMAWRTime, WMASex, WMAAge, WMAFactor) VALUES (8.047, 1, 1430, 'F', 91, 0.3906);</t>
  </si>
  <si>
    <t>INSERT INTO tblWMA (WMADistance, WMARoad, WMAWRTime, WMASex, WMAAge, WMAFactor) VALUES (8.047, 1, 1430, 'F', 92, 0.3682);</t>
  </si>
  <si>
    <t>INSERT INTO tblWMA (WMADistance, WMARoad, WMAWRTime, WMASex, WMAAge, WMAFactor) VALUES (8.047, 1, 1430, 'F', 93, 0.3449);</t>
  </si>
  <si>
    <t>INSERT INTO tblWMA (WMADistance, WMARoad, WMAWRTime, WMASex, WMAAge, WMAFactor) VALUES (8.047, 1, 1430, 'F', 94, 0.3208);</t>
  </si>
  <si>
    <t>INSERT INTO tblWMA (WMADistance, WMARoad, WMAWRTime, WMASex, WMAAge, WMAFactor) VALUES (8.047, 1, 1430, 'F', 95, 0.2959);</t>
  </si>
  <si>
    <t>INSERT INTO tblWMA (WMADistance, WMARoad, WMAWRTime, WMASex, WMAAge, WMAFactor) VALUES (8.047, 1, 1430, 'F', 96, 0.2702);</t>
  </si>
  <si>
    <t>INSERT INTO tblWMA (WMADistance, WMARoad, WMAWRTime, WMASex, WMAAge, WMAFactor) VALUES (8.047, 1, 1430, 'F', 97, 0.2437);</t>
  </si>
  <si>
    <t>INSERT INTO tblWMA (WMADistance, WMARoad, WMAWRTime, WMASex, WMAAge, WMAFactor) VALUES (8.047, 1, 1430, 'F', 98, 0.2164);</t>
  </si>
  <si>
    <t>INSERT INTO tblWMA (WMADistance, WMARoad, WMAWRTime, WMASex, WMAAge, WMAFactor) VALUES (8.047, 1, 1430, 'F', 99, 0.1882);</t>
  </si>
  <si>
    <t>INSERT INTO tblWMA (WMADistance, WMARoad, WMAWRTime, WMASex, WMAAge, WMAFactor) VALUES (8.047, 1, 1430, 'F', 100, 0.1592);</t>
  </si>
  <si>
    <t>INSERT INTO tblWMA (WMADistance, WMARoad, WMAWRTime, WMASex, WMAAge, WMAFactor) VALUES (10, 1, 1783, 'F', 5, 0.685);</t>
  </si>
  <si>
    <t>INSERT INTO tblWMA (WMADistance, WMARoad, WMAWRTime, WMASex, WMAAge, WMAFactor) VALUES (10, 1, 1783, 'F', 6, 0.7183);</t>
  </si>
  <si>
    <t>INSERT INTO tblWMA (WMADistance, WMARoad, WMAWRTime, WMASex, WMAAge, WMAFactor) VALUES (10, 1, 1783, 'F', 7, 0.7498);</t>
  </si>
  <si>
    <t>INSERT INTO tblWMA (WMADistance, WMARoad, WMAWRTime, WMASex, WMAAge, WMAFactor) VALUES (10, 1, 1783, 'F', 8, 0.7794);</t>
  </si>
  <si>
    <t>INSERT INTO tblWMA (WMADistance, WMARoad, WMAWRTime, WMASex, WMAAge, WMAFactor) VALUES (10, 1, 1783, 'F', 9, 0.8072);</t>
  </si>
  <si>
    <t>INSERT INTO tblWMA (WMADistance, WMARoad, WMAWRTime, WMASex, WMAAge, WMAFactor) VALUES (10, 1, 1783, 'F', 10, 0.8333);</t>
  </si>
  <si>
    <t>INSERT INTO tblWMA (WMADistance, WMARoad, WMAWRTime, WMASex, WMAAge, WMAFactor) VALUES (10, 1, 1783, 'F', 11, 0.8574);</t>
  </si>
  <si>
    <t>INSERT INTO tblWMA (WMADistance, WMARoad, WMAWRTime, WMASex, WMAAge, WMAFactor) VALUES (10, 1, 1783, 'F', 12, 0.8798);</t>
  </si>
  <si>
    <t>INSERT INTO tblWMA (WMADistance, WMARoad, WMAWRTime, WMASex, WMAAge, WMAFactor) VALUES (10, 1, 1783, 'F', 13, 0.9004);</t>
  </si>
  <si>
    <t>INSERT INTO tblWMA (WMADistance, WMARoad, WMAWRTime, WMASex, WMAAge, WMAFactor) VALUES (10, 1, 1783, 'F', 14, 0.9191);</t>
  </si>
  <si>
    <t>INSERT INTO tblWMA (WMADistance, WMARoad, WMAWRTime, WMASex, WMAAge, WMAFactor) VALUES (10, 1, 1783, 'F', 15, 0.936);</t>
  </si>
  <si>
    <t>INSERT INTO tblWMA (WMADistance, WMARoad, WMAWRTime, WMASex, WMAAge, WMAFactor) VALUES (10, 1, 1783, 'F', 16, 0.952);</t>
  </si>
  <si>
    <t>INSERT INTO tblWMA (WMADistance, WMARoad, WMAWRTime, WMASex, WMAAge, WMAFactor) VALUES (10, 1, 1783, 'F', 17, 0.968);</t>
  </si>
  <si>
    <t>INSERT INTO tblWMA (WMADistance, WMARoad, WMAWRTime, WMASex, WMAAge, WMAFactor) VALUES (10, 1, 1783, 'F', 18, 0.982);</t>
  </si>
  <si>
    <t>INSERT INTO tblWMA (WMADistance, WMARoad, WMAWRTime, WMASex, WMAAge, WMAFactor) VALUES (10, 1, 1783, 'F', 19, 0.992);</t>
  </si>
  <si>
    <t>INSERT INTO tblWMA (WMADistance, WMARoad, WMAWRTime, WMASex, WMAAge, WMAFactor) VALUES (10, 1, 1783, 'F', 20, 0.998);</t>
  </si>
  <si>
    <t>INSERT INTO tblWMA (WMADistance, WMARoad, WMAWRTime, WMASex, WMAAge, WMAFactor) VALUES (10, 1, 1783, 'F', 21, 1);</t>
  </si>
  <si>
    <t>INSERT INTO tblWMA (WMADistance, WMARoad, WMAWRTime, WMASex, WMAAge, WMAFactor) VALUES (10, 1, 1783, 'F', 22, 1);</t>
  </si>
  <si>
    <t>INSERT INTO tblWMA (WMADistance, WMARoad, WMAWRTime, WMASex, WMAAge, WMAFactor) VALUES (10, 1, 1783, 'F', 23, 1);</t>
  </si>
  <si>
    <t>INSERT INTO tblWMA (WMADistance, WMARoad, WMAWRTime, WMASex, WMAAge, WMAFactor) VALUES (10, 1, 1783, 'F', 24, 1);</t>
  </si>
  <si>
    <t>INSERT INTO tblWMA (WMADistance, WMARoad, WMAWRTime, WMASex, WMAAge, WMAFactor) VALUES (10, 1, 1783, 'F', 25, 1);</t>
  </si>
  <si>
    <t>INSERT INTO tblWMA (WMADistance, WMARoad, WMAWRTime, WMASex, WMAAge, WMAFactor) VALUES (10, 1, 1783, 'F', 26, 1);</t>
  </si>
  <si>
    <t>INSERT INTO tblWMA (WMADistance, WMARoad, WMAWRTime, WMASex, WMAAge, WMAFactor) VALUES (10, 1, 1783, 'F', 27, 1);</t>
  </si>
  <si>
    <t>INSERT INTO tblWMA (WMADistance, WMARoad, WMAWRTime, WMASex, WMAAge, WMAFactor) VALUES (10, 1, 1783, 'F', 28, 0.9998);</t>
  </si>
  <si>
    <t>INSERT INTO tblWMA (WMADistance, WMARoad, WMAWRTime, WMASex, WMAAge, WMAFactor) VALUES (10, 1, 1783, 'F', 29, 0.9991);</t>
  </si>
  <si>
    <t>INSERT INTO tblWMA (WMADistance, WMARoad, WMAWRTime, WMASex, WMAAge, WMAFactor) VALUES (10, 1, 1783, 'F', 30, 0.998);</t>
  </si>
  <si>
    <t>INSERT INTO tblWMA (WMADistance, WMARoad, WMAWRTime, WMASex, WMAAge, WMAFactor) VALUES (10, 1, 1783, 'F', 31, 0.9964);</t>
  </si>
  <si>
    <t>INSERT INTO tblWMA (WMADistance, WMARoad, WMAWRTime, WMASex, WMAAge, WMAFactor) VALUES (10, 1, 1783, 'F', 32, 0.9944);</t>
  </si>
  <si>
    <t>INSERT INTO tblWMA (WMADistance, WMARoad, WMAWRTime, WMASex, WMAAge, WMAFactor) VALUES (10, 1, 1783, 'F', 33, 0.992);</t>
  </si>
  <si>
    <t>INSERT INTO tblWMA (WMADistance, WMARoad, WMAWRTime, WMASex, WMAAge, WMAFactor) VALUES (10, 1, 1783, 'F', 34, 0.9891);</t>
  </si>
  <si>
    <t>INSERT INTO tblWMA (WMADistance, WMARoad, WMAWRTime, WMASex, WMAAge, WMAFactor) VALUES (10, 1, 1783, 'F', 35, 0.9857);</t>
  </si>
  <si>
    <t>INSERT INTO tblWMA (WMADistance, WMARoad, WMAWRTime, WMASex, WMAAge, WMAFactor) VALUES (10, 1, 1783, 'F', 36, 0.9819);</t>
  </si>
  <si>
    <t>INSERT INTO tblWMA (WMADistance, WMARoad, WMAWRTime, WMASex, WMAAge, WMAFactor) VALUES (10, 1, 1783, 'F', 37, 0.9777);</t>
  </si>
  <si>
    <t>INSERT INTO tblWMA (WMADistance, WMARoad, WMAWRTime, WMASex, WMAAge, WMAFactor) VALUES (10, 1, 1783, 'F', 38, 0.973);</t>
  </si>
  <si>
    <t>INSERT INTO tblWMA (WMADistance, WMARoad, WMAWRTime, WMASex, WMAAge, WMAFactor) VALUES (10, 1, 1783, 'F', 39, 0.9679);</t>
  </si>
  <si>
    <t>INSERT INTO tblWMA (WMADistance, WMARoad, WMAWRTime, WMASex, WMAAge, WMAFactor) VALUES (10, 1, 1783, 'F', 40, 0.9623);</t>
  </si>
  <si>
    <t>INSERT INTO tblWMA (WMADistance, WMARoad, WMAWRTime, WMASex, WMAAge, WMAFactor) VALUES (10, 1, 1783, 'F', 41, 0.9563);</t>
  </si>
  <si>
    <t>INSERT INTO tblWMA (WMADistance, WMARoad, WMAWRTime, WMASex, WMAAge, WMAFactor) VALUES (10, 1, 1783, 'F', 42, 0.9499);</t>
  </si>
  <si>
    <t>INSERT INTO tblWMA (WMADistance, WMARoad, WMAWRTime, WMASex, WMAAge, WMAFactor) VALUES (10, 1, 1783, 'F', 43, 0.9429);</t>
  </si>
  <si>
    <t>INSERT INTO tblWMA (WMADistance, WMARoad, WMAWRTime, WMASex, WMAAge, WMAFactor) VALUES (10, 1, 1783, 'F', 44, 0.9356);</t>
  </si>
  <si>
    <t>INSERT INTO tblWMA (WMADistance, WMARoad, WMAWRTime, WMASex, WMAAge, WMAFactor) VALUES (10, 1, 1783, 'F', 45, 0.9278);</t>
  </si>
  <si>
    <t>INSERT INTO tblWMA (WMADistance, WMARoad, WMAWRTime, WMASex, WMAAge, WMAFactor) VALUES (10, 1, 1783, 'F', 46, 0.9195);</t>
  </si>
  <si>
    <t>INSERT INTO tblWMA (WMADistance, WMARoad, WMAWRTime, WMASex, WMAAge, WMAFactor) VALUES (10, 1, 1783, 'F', 47, 0.9109);</t>
  </si>
  <si>
    <t>INSERT INTO tblWMA (WMADistance, WMARoad, WMAWRTime, WMASex, WMAAge, WMAFactor) VALUES (10, 1, 1783, 'F', 48, 0.9017);</t>
  </si>
  <si>
    <t>INSERT INTO tblWMA (WMADistance, WMARoad, WMAWRTime, WMASex, WMAAge, WMAFactor) VALUES (10, 1, 1783, 'F', 49, 0.8921);</t>
  </si>
  <si>
    <t>INSERT INTO tblWMA (WMADistance, WMARoad, WMAWRTime, WMASex, WMAAge, WMAFactor) VALUES (10, 1, 1783, 'F', 50, 0.8822);</t>
  </si>
  <si>
    <t>INSERT INTO tblWMA (WMADistance, WMARoad, WMAWRTime, WMASex, WMAAge, WMAFactor) VALUES (10, 1, 1783, 'F', 51, 0.8723);</t>
  </si>
  <si>
    <t>INSERT INTO tblWMA (WMADistance, WMARoad, WMAWRTime, WMASex, WMAAge, WMAFactor) VALUES (10, 1, 1783, 'F', 52, 0.8623);</t>
  </si>
  <si>
    <t>INSERT INTO tblWMA (WMADistance, WMARoad, WMAWRTime, WMASex, WMAAge, WMAFactor) VALUES (10, 1, 1783, 'F', 53, 0.8524);</t>
  </si>
  <si>
    <t>INSERT INTO tblWMA (WMADistance, WMARoad, WMAWRTime, WMASex, WMAAge, WMAFactor) VALUES (10, 1, 1783, 'F', 54, 0.8425);</t>
  </si>
  <si>
    <t>INSERT INTO tblWMA (WMADistance, WMARoad, WMAWRTime, WMASex, WMAAge, WMAFactor) VALUES (10, 1, 1783, 'F', 55, 0.8325);</t>
  </si>
  <si>
    <t>INSERT INTO tblWMA (WMADistance, WMARoad, WMAWRTime, WMASex, WMAAge, WMAFactor) VALUES (10, 1, 1783, 'F', 56, 0.8226);</t>
  </si>
  <si>
    <t>INSERT INTO tblWMA (WMADistance, WMARoad, WMAWRTime, WMASex, WMAAge, WMAFactor) VALUES (10, 1, 1783, 'F', 57, 0.8126);</t>
  </si>
  <si>
    <t>INSERT INTO tblWMA (WMADistance, WMARoad, WMAWRTime, WMASex, WMAAge, WMAFactor) VALUES (10, 1, 1783, 'F', 58, 0.8027);</t>
  </si>
  <si>
    <t>INSERT INTO tblWMA (WMADistance, WMARoad, WMAWRTime, WMASex, WMAAge, WMAFactor) VALUES (10, 1, 1783, 'F', 59, 0.7928);</t>
  </si>
  <si>
    <t>INSERT INTO tblWMA (WMADistance, WMARoad, WMAWRTime, WMASex, WMAAge, WMAFactor) VALUES (10, 1, 1783, 'F', 60, 0.7828);</t>
  </si>
  <si>
    <t>INSERT INTO tblWMA (WMADistance, WMARoad, WMAWRTime, WMASex, WMAAge, WMAFactor) VALUES (10, 1, 1783, 'F', 61, 0.7729);</t>
  </si>
  <si>
    <t>INSERT INTO tblWMA (WMADistance, WMARoad, WMAWRTime, WMASex, WMAAge, WMAFactor) VALUES (10, 1, 1783, 'F', 62, 0.7629);</t>
  </si>
  <si>
    <t>INSERT INTO tblWMA (WMADistance, WMARoad, WMAWRTime, WMASex, WMAAge, WMAFactor) VALUES (10, 1, 1783, 'F', 63, 0.753);</t>
  </si>
  <si>
    <t>INSERT INTO tblWMA (WMADistance, WMARoad, WMAWRTime, WMASex, WMAAge, WMAFactor) VALUES (10, 1, 1783, 'F', 64, 0.7431);</t>
  </si>
  <si>
    <t>INSERT INTO tblWMA (WMADistance, WMARoad, WMAWRTime, WMASex, WMAAge, WMAFactor) VALUES (10, 1, 1783, 'F', 65, 0.7331);</t>
  </si>
  <si>
    <t>INSERT INTO tblWMA (WMADistance, WMARoad, WMAWRTime, WMASex, WMAAge, WMAFactor) VALUES (10, 1, 1783, 'F', 66, 0.7232);</t>
  </si>
  <si>
    <t>INSERT INTO tblWMA (WMADistance, WMARoad, WMAWRTime, WMASex, WMAAge, WMAFactor) VALUES (10, 1, 1783, 'F', 67, 0.7132);</t>
  </si>
  <si>
    <t>INSERT INTO tblWMA (WMADistance, WMARoad, WMAWRTime, WMASex, WMAAge, WMAFactor) VALUES (10, 1, 1783, 'F', 68, 0.7033);</t>
  </si>
  <si>
    <t>INSERT INTO tblWMA (WMADistance, WMARoad, WMAWRTime, WMASex, WMAAge, WMAFactor) VALUES (10, 1, 1783, 'F', 69, 0.6934);</t>
  </si>
  <si>
    <t>INSERT INTO tblWMA (WMADistance, WMARoad, WMAWRTime, WMASex, WMAAge, WMAFactor) VALUES (10, 1, 1783, 'F', 70, 0.6834);</t>
  </si>
  <si>
    <t>INSERT INTO tblWMA (WMADistance, WMARoad, WMAWRTime, WMASex, WMAAge, WMAFactor) VALUES (10, 1, 1783, 'F', 71, 0.6735);</t>
  </si>
  <si>
    <t>INSERT INTO tblWMA (WMADistance, WMARoad, WMAWRTime, WMASex, WMAAge, WMAFactor) VALUES (10, 1, 1783, 'F', 72, 0.6635);</t>
  </si>
  <si>
    <t>INSERT INTO tblWMA (WMADistance, WMARoad, WMAWRTime, WMASex, WMAAge, WMAFactor) VALUES (10, 1, 1783, 'F', 73, 0.6536);</t>
  </si>
  <si>
    <t>INSERT INTO tblWMA (WMADistance, WMARoad, WMAWRTime, WMASex, WMAAge, WMAFactor) VALUES (10, 1, 1783, 'F', 74, 0.6437);</t>
  </si>
  <si>
    <t>INSERT INTO tblWMA (WMADistance, WMARoad, WMAWRTime, WMASex, WMAAge, WMAFactor) VALUES (10, 1, 1783, 'F', 75, 0.6337);</t>
  </si>
  <si>
    <t>INSERT INTO tblWMA (WMADistance, WMARoad, WMAWRTime, WMASex, WMAAge, WMAFactor) VALUES (10, 1, 1783, 'F', 76, 0.6234);</t>
  </si>
  <si>
    <t>INSERT INTO tblWMA (WMADistance, WMARoad, WMAWRTime, WMASex, WMAAge, WMAFactor) VALUES (10, 1, 1783, 'F', 77, 0.6123);</t>
  </si>
  <si>
    <t>INSERT INTO tblWMA (WMADistance, WMARoad, WMAWRTime, WMASex, WMAAge, WMAFactor) VALUES (10, 1, 1783, 'F', 78, 0.6005);</t>
  </si>
  <si>
    <t>INSERT INTO tblWMA (WMADistance, WMARoad, WMAWRTime, WMASex, WMAAge, WMAFactor) VALUES (10, 1, 1783, 'F', 79, 0.5879);</t>
  </si>
  <si>
    <t>INSERT INTO tblWMA (WMADistance, WMARoad, WMAWRTime, WMASex, WMAAge, WMAFactor) VALUES (10, 1, 1783, 'F', 80, 0.5745);</t>
  </si>
  <si>
    <t>INSERT INTO tblWMA (WMADistance, WMARoad, WMAWRTime, WMASex, WMAAge, WMAFactor) VALUES (10, 1, 1783, 'F', 81, 0.5604);</t>
  </si>
  <si>
    <t>INSERT INTO tblWMA (WMADistance, WMARoad, WMAWRTime, WMASex, WMAAge, WMAFactor) VALUES (10, 1, 1783, 'F', 82, 0.5455);</t>
  </si>
  <si>
    <t>INSERT INTO tblWMA (WMADistance, WMARoad, WMAWRTime, WMASex, WMAAge, WMAFactor) VALUES (10, 1, 1783, 'F', 83, 0.5299);</t>
  </si>
  <si>
    <t>INSERT INTO tblWMA (WMADistance, WMARoad, WMAWRTime, WMASex, WMAAge, WMAFactor) VALUES (10, 1, 1783, 'F', 84, 0.5135);</t>
  </si>
  <si>
    <t>INSERT INTO tblWMA (WMADistance, WMARoad, WMAWRTime, WMASex, WMAAge, WMAFactor) VALUES (10, 1, 1783, 'F', 85, 0.4963);</t>
  </si>
  <si>
    <t>INSERT INTO tblWMA (WMADistance, WMARoad, WMAWRTime, WMASex, WMAAge, WMAFactor) VALUES (10, 1, 1783, 'F', 86, 0.4784);</t>
  </si>
  <si>
    <t>INSERT INTO tblWMA (WMADistance, WMARoad, WMAWRTime, WMASex, WMAAge, WMAFactor) VALUES (10, 1, 1783, 'F', 87, 0.4597);</t>
  </si>
  <si>
    <t>INSERT INTO tblWMA (WMADistance, WMARoad, WMAWRTime, WMASex, WMAAge, WMAFactor) VALUES (10, 1, 1783, 'F', 88, 0.4403);</t>
  </si>
  <si>
    <t>INSERT INTO tblWMA (WMADistance, WMARoad, WMAWRTime, WMASex, WMAAge, WMAFactor) VALUES (10, 1, 1783, 'F', 89, 0.4201);</t>
  </si>
  <si>
    <t>INSERT INTO tblWMA (WMADistance, WMARoad, WMAWRTime, WMASex, WMAAge, WMAFactor) VALUES (10, 1, 1783, 'F', 90, 0.3991);</t>
  </si>
  <si>
    <t>INSERT INTO tblWMA (WMADistance, WMARoad, WMAWRTime, WMASex, WMAAge, WMAFactor) VALUES (10, 1, 1783, 'F', 91, 0.3774);</t>
  </si>
  <si>
    <t>INSERT INTO tblWMA (WMADistance, WMARoad, WMAWRTime, WMASex, WMAAge, WMAFactor) VALUES (10, 1, 1783, 'F', 92, 0.3549);</t>
  </si>
  <si>
    <t>INSERT INTO tblWMA (WMADistance, WMARoad, WMAWRTime, WMASex, WMAAge, WMAFactor) VALUES (10, 1, 1783, 'F', 93, 0.3317);</t>
  </si>
  <si>
    <t>INSERT INTO tblWMA (WMADistance, WMARoad, WMAWRTime, WMASex, WMAAge, WMAFactor) VALUES (10, 1, 1783, 'F', 94, 0.3077);</t>
  </si>
  <si>
    <t>INSERT INTO tblWMA (WMADistance, WMARoad, WMAWRTime, WMASex, WMAAge, WMAFactor) VALUES (10, 1, 1783, 'F', 95, 0.2829);</t>
  </si>
  <si>
    <t>INSERT INTO tblWMA (WMADistance, WMARoad, WMAWRTime, WMASex, WMAAge, WMAFactor) VALUES (10, 1, 1783, 'F', 96, 0.2574);</t>
  </si>
  <si>
    <t>INSERT INTO tblWMA (WMADistance, WMARoad, WMAWRTime, WMASex, WMAAge, WMAFactor) VALUES (10, 1, 1783, 'F', 97, 0.2311);</t>
  </si>
  <si>
    <t>INSERT INTO tblWMA (WMADistance, WMARoad, WMAWRTime, WMASex, WMAAge, WMAFactor) VALUES (10, 1, 1783, 'F', 98, 0.2041);</t>
  </si>
  <si>
    <t>INSERT INTO tblWMA (WMADistance, WMARoad, WMAWRTime, WMASex, WMAAge, WMAFactor) VALUES (10, 1, 1783, 'F', 99, 0.1763);</t>
  </si>
  <si>
    <t>INSERT INTO tblWMA (WMADistance, WMARoad, WMAWRTime, WMASex, WMAAge, WMAFactor) VALUES (10, 1, 1783, 'F', 100, 0.1477);</t>
  </si>
  <si>
    <t>INSERT INTO tblWMA (WMADistance, WMARoad, WMAWRTime, WMASex, WMAAge, WMAFactor) VALUES (12, 1, 2160, 'F', 5, 0.6813);</t>
  </si>
  <si>
    <t>INSERT INTO tblWMA (WMADistance, WMARoad, WMAWRTime, WMASex, WMAAge, WMAFactor) VALUES (12, 1, 2160, 'F', 6, 0.7151);</t>
  </si>
  <si>
    <t>INSERT INTO tblWMA (WMADistance, WMARoad, WMAWRTime, WMASex, WMAAge, WMAFactor) VALUES (12, 1, 2160, 'F', 7, 0.7471);</t>
  </si>
  <si>
    <t>INSERT INTO tblWMA (WMADistance, WMARoad, WMAWRTime, WMASex, WMAAge, WMAFactor) VALUES (12, 1, 2160, 'F', 8, 0.7772);</t>
  </si>
  <si>
    <t>INSERT INTO tblWMA (WMADistance, WMARoad, WMAWRTime, WMASex, WMAAge, WMAFactor) VALUES (12, 1, 2160, 'F', 9, 0.8055);</t>
  </si>
  <si>
    <t>INSERT INTO tblWMA (WMADistance, WMARoad, WMAWRTime, WMASex, WMAAge, WMAFactor) VALUES (12, 1, 2160, 'F', 10, 0.8321);</t>
  </si>
  <si>
    <t>INSERT INTO tblWMA (WMADistance, WMARoad, WMAWRTime, WMASex, WMAAge, WMAFactor) VALUES (12, 1, 2160, 'F', 11, 0.8567);</t>
  </si>
  <si>
    <t>INSERT INTO tblWMA (WMADistance, WMARoad, WMAWRTime, WMASex, WMAAge, WMAFactor) VALUES (12, 1, 2160, 'F', 12, 0.8796);</t>
  </si>
  <si>
    <t>INSERT INTO tblWMA (WMADistance, WMARoad, WMAWRTime, WMASex, WMAAge, WMAFactor) VALUES (12, 1, 2160, 'F', 13, 0.9007);</t>
  </si>
  <si>
    <t>INSERT INTO tblWMA (WMADistance, WMARoad, WMAWRTime, WMASex, WMAAge, WMAFactor) VALUES (12, 1, 2160, 'F', 14, 0.9199);</t>
  </si>
  <si>
    <t>INSERT INTO tblWMA (WMADistance, WMARoad, WMAWRTime, WMASex, WMAAge, WMAFactor) VALUES (12, 1, 2160, 'F', 15, 0.9373);</t>
  </si>
  <si>
    <t>INSERT INTO tblWMA (WMADistance, WMARoad, WMAWRTime, WMASex, WMAAge, WMAFactor) VALUES (12, 1, 2160, 'F', 16, 0.9538);</t>
  </si>
  <si>
    <t>INSERT INTO tblWMA (WMADistance, WMARoad, WMAWRTime, WMASex, WMAAge, WMAFactor) VALUES (12, 1, 2160, 'F', 17, 0.9703);</t>
  </si>
  <si>
    <t>INSERT INTO tblWMA (WMADistance, WMARoad, WMAWRTime, WMASex, WMAAge, WMAFactor) VALUES (12, 1, 2160, 'F', 18, 0.9845);</t>
  </si>
  <si>
    <t>INSERT INTO tblWMA (WMADistance, WMARoad, WMAWRTime, WMASex, WMAAge, WMAFactor) VALUES (12, 1, 2160, 'F', 19, 0.9941);</t>
  </si>
  <si>
    <t>INSERT INTO tblWMA (WMADistance, WMARoad, WMAWRTime, WMASex, WMAAge, WMAFactor) VALUES (12, 1, 2160, 'F', 20, 0.9992);</t>
  </si>
  <si>
    <t>INSERT INTO tblWMA (WMADistance, WMARoad, WMAWRTime, WMASex, WMAAge, WMAFactor) VALUES (12, 1, 2160, 'F', 21, 1);</t>
  </si>
  <si>
    <t>INSERT INTO tblWMA (WMADistance, WMARoad, WMAWRTime, WMASex, WMAAge, WMAFactor) VALUES (12, 1, 2160, 'F', 22, 1);</t>
  </si>
  <si>
    <t>INSERT INTO tblWMA (WMADistance, WMARoad, WMAWRTime, WMASex, WMAAge, WMAFactor) VALUES (12, 1, 2160, 'F', 23, 1);</t>
  </si>
  <si>
    <t>INSERT INTO tblWMA (WMADistance, WMARoad, WMAWRTime, WMASex, WMAAge, WMAFactor) VALUES (12, 1, 2160, 'F', 24, 1);</t>
  </si>
  <si>
    <t>INSERT INTO tblWMA (WMADistance, WMARoad, WMAWRTime, WMASex, WMAAge, WMAFactor) VALUES (12, 1, 2160, 'F', 25, 1);</t>
  </si>
  <si>
    <t>INSERT INTO tblWMA (WMADistance, WMARoad, WMAWRTime, WMASex, WMAAge, WMAFactor) VALUES (12, 1, 2160, 'F', 26, 1);</t>
  </si>
  <si>
    <t>INSERT INTO tblWMA (WMADistance, WMARoad, WMAWRTime, WMASex, WMAAge, WMAFactor) VALUES (12, 1, 2160, 'F', 27, 1);</t>
  </si>
  <si>
    <t>INSERT INTO tblWMA (WMADistance, WMARoad, WMAWRTime, WMASex, WMAAge, WMAFactor) VALUES (12, 1, 2160, 'F', 28, 0.9999);</t>
  </si>
  <si>
    <t>INSERT INTO tblWMA (WMADistance, WMARoad, WMAWRTime, WMASex, WMAAge, WMAFactor) VALUES (12, 1, 2160, 'F', 29, 0.9995);</t>
  </si>
  <si>
    <t>INSERT INTO tblWMA (WMADistance, WMARoad, WMAWRTime, WMASex, WMAAge, WMAFactor) VALUES (12, 1, 2160, 'F', 30, 0.9985);</t>
  </si>
  <si>
    <t>INSERT INTO tblWMA (WMADistance, WMARoad, WMAWRTime, WMASex, WMAAge, WMAFactor) VALUES (12, 1, 2160, 'F', 31, 0.9971);</t>
  </si>
  <si>
    <t>INSERT INTO tblWMA (WMADistance, WMARoad, WMAWRTime, WMASex, WMAAge, WMAFactor) VALUES (12, 1, 2160, 'F', 32, 0.9953);</t>
  </si>
  <si>
    <t>INSERT INTO tblWMA (WMADistance, WMARoad, WMAWRTime, WMASex, WMAAge, WMAFactor) VALUES (12, 1, 2160, 'F', 33, 0.9929);</t>
  </si>
  <si>
    <t>INSERT INTO tblWMA (WMADistance, WMARoad, WMAWRTime, WMASex, WMAAge, WMAFactor) VALUES (12, 1, 2160, 'F', 34, 0.9902);</t>
  </si>
  <si>
    <t>INSERT INTO tblWMA (WMADistance, WMARoad, WMAWRTime, WMASex, WMAAge, WMAFactor) VALUES (12, 1, 2160, 'F', 35, 0.9869);</t>
  </si>
  <si>
    <t>INSERT INTO tblWMA (WMADistance, WMARoad, WMAWRTime, WMASex, WMAAge, WMAFactor) VALUES (12, 1, 2160, 'F', 36, 0.9832);</t>
  </si>
  <si>
    <t>INSERT INTO tblWMA (WMADistance, WMARoad, WMAWRTime, WMASex, WMAAge, WMAFactor) VALUES (12, 1, 2160, 'F', 37, 0.979);</t>
  </si>
  <si>
    <t>INSERT INTO tblWMA (WMADistance, WMARoad, WMAWRTime, WMASex, WMAAge, WMAFactor) VALUES (12, 1, 2160, 'F', 38, 0.9743);</t>
  </si>
  <si>
    <t>INSERT INTO tblWMA (WMADistance, WMARoad, WMAWRTime, WMASex, WMAAge, WMAFactor) VALUES (12, 1, 2160, 'F', 39, 0.9692);</t>
  </si>
  <si>
    <t>INSERT INTO tblWMA (WMADistance, WMARoad, WMAWRTime, WMASex, WMAAge, WMAFactor) VALUES (12, 1, 2160, 'F', 40, 0.9636);</t>
  </si>
  <si>
    <t>INSERT INTO tblWMA (WMADistance, WMARoad, WMAWRTime, WMASex, WMAAge, WMAFactor) VALUES (12, 1, 2160, 'F', 41, 0.9576);</t>
  </si>
  <si>
    <t>INSERT INTO tblWMA (WMADistance, WMARoad, WMAWRTime, WMASex, WMAAge, WMAFactor) VALUES (12, 1, 2160, 'F', 42, 0.9511);</t>
  </si>
  <si>
    <t>INSERT INTO tblWMA (WMADistance, WMARoad, WMAWRTime, WMASex, WMAAge, WMAFactor) VALUES (12, 1, 2160, 'F', 43, 0.9441);</t>
  </si>
  <si>
    <t>INSERT INTO tblWMA (WMADistance, WMARoad, WMAWRTime, WMASex, WMAAge, WMAFactor) VALUES (12, 1, 2160, 'F', 44, 0.9367);</t>
  </si>
  <si>
    <t>INSERT INTO tblWMA (WMADistance, WMARoad, WMAWRTime, WMASex, WMAAge, WMAFactor) VALUES (12, 1, 2160, 'F', 45, 0.9288);</t>
  </si>
  <si>
    <t>INSERT INTO tblWMA (WMADistance, WMARoad, WMAWRTime, WMASex, WMAAge, WMAFactor) VALUES (12, 1, 2160, 'F', 46, 0.9204);</t>
  </si>
  <si>
    <t>INSERT INTO tblWMA (WMADistance, WMARoad, WMAWRTime, WMASex, WMAAge, WMAFactor) VALUES (12, 1, 2160, 'F', 47, 0.9116);</t>
  </si>
  <si>
    <t>INSERT INTO tblWMA (WMADistance, WMARoad, WMAWRTime, WMASex, WMAAge, WMAFactor) VALUES (12, 1, 2160, 'F', 48, 0.9023);</t>
  </si>
  <si>
    <t>INSERT INTO tblWMA (WMADistance, WMARoad, WMAWRTime, WMASex, WMAAge, WMAFactor) VALUES (12, 1, 2160, 'F', 49, 0.8925);</t>
  </si>
  <si>
    <t>INSERT INTO tblWMA (WMADistance, WMARoad, WMAWRTime, WMASex, WMAAge, WMAFactor) VALUES (12, 1, 2160, 'F', 50, 0.8825);</t>
  </si>
  <si>
    <t>INSERT INTO tblWMA (WMADistance, WMARoad, WMAWRTime, WMASex, WMAAge, WMAFactor) VALUES (12, 1, 2160, 'F', 51, 0.8724);</t>
  </si>
  <si>
    <t>INSERT INTO tblWMA (WMADistance, WMARoad, WMAWRTime, WMASex, WMAAge, WMAFactor) VALUES (12, 1, 2160, 'F', 52, 0.8624);</t>
  </si>
  <si>
    <t>INSERT INTO tblWMA (WMADistance, WMARoad, WMAWRTime, WMASex, WMAAge, WMAFactor) VALUES (12, 1, 2160, 'F', 53, 0.8523);</t>
  </si>
  <si>
    <t>INSERT INTO tblWMA (WMADistance, WMARoad, WMAWRTime, WMASex, WMAAge, WMAFactor) VALUES (12, 1, 2160, 'F', 54, 0.8423);</t>
  </si>
  <si>
    <t>INSERT INTO tblWMA (WMADistance, WMARoad, WMAWRTime, WMASex, WMAAge, WMAFactor) VALUES (12, 1, 2160, 'F', 55, 0.8322);</t>
  </si>
  <si>
    <t>INSERT INTO tblWMA (WMADistance, WMARoad, WMAWRTime, WMASex, WMAAge, WMAFactor) VALUES (12, 1, 2160, 'F', 56, 0.8222);</t>
  </si>
  <si>
    <t>INSERT INTO tblWMA (WMADistance, WMARoad, WMAWRTime, WMASex, WMAAge, WMAFactor) VALUES (12, 1, 2160, 'F', 57, 0.8121);</t>
  </si>
  <si>
    <t>INSERT INTO tblWMA (WMADistance, WMARoad, WMAWRTime, WMASex, WMAAge, WMAFactor) VALUES (12, 1, 2160, 'F', 58, 0.8021);</t>
  </si>
  <si>
    <t>INSERT INTO tblWMA (WMADistance, WMARoad, WMAWRTime, WMASex, WMAAge, WMAFactor) VALUES (12, 1, 2160, 'F', 59, 0.792);</t>
  </si>
  <si>
    <t>INSERT INTO tblWMA (WMADistance, WMARoad, WMAWRTime, WMASex, WMAAge, WMAFactor) VALUES (12, 1, 2160, 'F', 60, 0.782);</t>
  </si>
  <si>
    <t>INSERT INTO tblWMA (WMADistance, WMARoad, WMAWRTime, WMASex, WMAAge, WMAFactor) VALUES (12, 1, 2160, 'F', 61, 0.7719);</t>
  </si>
  <si>
    <t>INSERT INTO tblWMA (WMADistance, WMARoad, WMAWRTime, WMASex, WMAAge, WMAFactor) VALUES (12, 1, 2160, 'F', 62, 0.7618);</t>
  </si>
  <si>
    <t>INSERT INTO tblWMA (WMADistance, WMARoad, WMAWRTime, WMASex, WMAAge, WMAFactor) VALUES (12, 1, 2160, 'F', 63, 0.7518);</t>
  </si>
  <si>
    <t>INSERT INTO tblWMA (WMADistance, WMARoad, WMAWRTime, WMASex, WMAAge, WMAFactor) VALUES (12, 1, 2160, 'F', 64, 0.7417);</t>
  </si>
  <si>
    <t>INSERT INTO tblWMA (WMADistance, WMARoad, WMAWRTime, WMASex, WMAAge, WMAFactor) VALUES (12, 1, 2160, 'F', 65, 0.7317);</t>
  </si>
  <si>
    <t>INSERT INTO tblWMA (WMADistance, WMARoad, WMAWRTime, WMASex, WMAAge, WMAFactor) VALUES (12, 1, 2160, 'F', 66, 0.7216);</t>
  </si>
  <si>
    <t>INSERT INTO tblWMA (WMADistance, WMARoad, WMAWRTime, WMASex, WMAAge, WMAFactor) VALUES (12, 1, 2160, 'F', 67, 0.7116);</t>
  </si>
  <si>
    <t>INSERT INTO tblWMA (WMADistance, WMARoad, WMAWRTime, WMASex, WMAAge, WMAFactor) VALUES (12, 1, 2160, 'F', 68, 0.7015);</t>
  </si>
  <si>
    <t>INSERT INTO tblWMA (WMADistance, WMARoad, WMAWRTime, WMASex, WMAAge, WMAFactor) VALUES (12, 1, 2160, 'F', 69, 0.6915);</t>
  </si>
  <si>
    <t>INSERT INTO tblWMA (WMADistance, WMARoad, WMAWRTime, WMASex, WMAAge, WMAFactor) VALUES (12, 1, 2160, 'F', 70, 0.6814);</t>
  </si>
  <si>
    <t>INSERT INTO tblWMA (WMADistance, WMARoad, WMAWRTime, WMASex, WMAAge, WMAFactor) VALUES (12, 1, 2160, 'F', 71, 0.6714);</t>
  </si>
  <si>
    <t>INSERT INTO tblWMA (WMADistance, WMARoad, WMAWRTime, WMASex, WMAAge, WMAFactor) VALUES (12, 1, 2160, 'F', 72, 0.6613);</t>
  </si>
  <si>
    <t>INSERT INTO tblWMA (WMADistance, WMARoad, WMAWRTime, WMASex, WMAAge, WMAFactor) VALUES (12, 1, 2160, 'F', 73, 0.6513);</t>
  </si>
  <si>
    <t>INSERT INTO tblWMA (WMADistance, WMARoad, WMAWRTime, WMASex, WMAAge, WMAFactor) VALUES (12, 1, 2160, 'F', 74, 0.6412);</t>
  </si>
  <si>
    <t>INSERT INTO tblWMA (WMADistance, WMARoad, WMAWRTime, WMASex, WMAAge, WMAFactor) VALUES (12, 1, 2160, 'F', 75, 0.6312);</t>
  </si>
  <si>
    <t>INSERT INTO tblWMA (WMADistance, WMARoad, WMAWRTime, WMASex, WMAAge, WMAFactor) VALUES (12, 1, 2160, 'F', 76, 0.6209);</t>
  </si>
  <si>
    <t>INSERT INTO tblWMA (WMADistance, WMARoad, WMAWRTime, WMASex, WMAAge, WMAFactor) VALUES (12, 1, 2160, 'F', 77, 0.6098);</t>
  </si>
  <si>
    <t>INSERT INTO tblWMA (WMADistance, WMARoad, WMAWRTime, WMASex, WMAAge, WMAFactor) VALUES (12, 1, 2160, 'F', 78, 0.598);</t>
  </si>
  <si>
    <t>INSERT INTO tblWMA (WMADistance, WMARoad, WMAWRTime, WMASex, WMAAge, WMAFactor) VALUES (12, 1, 2160, 'F', 79, 0.5855);</t>
  </si>
  <si>
    <t>INSERT INTO tblWMA (WMADistance, WMARoad, WMAWRTime, WMASex, WMAAge, WMAFactor) VALUES (12, 1, 2160, 'F', 80, 0.5721);</t>
  </si>
  <si>
    <t>INSERT INTO tblWMA (WMADistance, WMARoad, WMAWRTime, WMASex, WMAAge, WMAFactor) VALUES (12, 1, 2160, 'F', 81, 0.558);</t>
  </si>
  <si>
    <t>INSERT INTO tblWMA (WMADistance, WMARoad, WMAWRTime, WMASex, WMAAge, WMAFactor) VALUES (12, 1, 2160, 'F', 82, 0.5431);</t>
  </si>
  <si>
    <t>INSERT INTO tblWMA (WMADistance, WMARoad, WMAWRTime, WMASex, WMAAge, WMAFactor) VALUES (12, 1, 2160, 'F', 83, 0.5275);</t>
  </si>
  <si>
    <t>INSERT INTO tblWMA (WMADistance, WMARoad, WMAWRTime, WMASex, WMAAge, WMAFactor) VALUES (12, 1, 2160, 'F', 84, 0.511);</t>
  </si>
  <si>
    <t>INSERT INTO tblWMA (WMADistance, WMARoad, WMAWRTime, WMASex, WMAAge, WMAFactor) VALUES (12, 1, 2160, 'F', 85, 0.4939);</t>
  </si>
  <si>
    <t>INSERT INTO tblWMA (WMADistance, WMARoad, WMAWRTime, WMASex, WMAAge, WMAFactor) VALUES (12, 1, 2160, 'F', 86, 0.4759);</t>
  </si>
  <si>
    <t>INSERT INTO tblWMA (WMADistance, WMARoad, WMAWRTime, WMASex, WMAAge, WMAFactor) VALUES (12, 1, 2160, 'F', 87, 0.4572);</t>
  </si>
  <si>
    <t>INSERT INTO tblWMA (WMADistance, WMARoad, WMAWRTime, WMASex, WMAAge, WMAFactor) VALUES (12, 1, 2160, 'F', 88, 0.4377);</t>
  </si>
  <si>
    <t>INSERT INTO tblWMA (WMADistance, WMARoad, WMAWRTime, WMASex, WMAAge, WMAFactor) VALUES (12, 1, 2160, 'F', 89, 0.4174);</t>
  </si>
  <si>
    <t>INSERT INTO tblWMA (WMADistance, WMARoad, WMAWRTime, WMASex, WMAAge, WMAFactor) VALUES (12, 1, 2160, 'F', 90, 0.3964);</t>
  </si>
  <si>
    <t>INSERT INTO tblWMA (WMADistance, WMARoad, WMAWRTime, WMASex, WMAAge, WMAFactor) VALUES (12, 1, 2160, 'F', 91, 0.3745);</t>
  </si>
  <si>
    <t>INSERT INTO tblWMA (WMADistance, WMARoad, WMAWRTime, WMASex, WMAAge, WMAFactor) VALUES (12, 1, 2160, 'F', 92, 0.352);</t>
  </si>
  <si>
    <t>INSERT INTO tblWMA (WMADistance, WMARoad, WMAWRTime, WMASex, WMAAge, WMAFactor) VALUES (12, 1, 2160, 'F', 93, 0.3286);</t>
  </si>
  <si>
    <t>INSERT INTO tblWMA (WMADistance, WMARoad, WMAWRTime, WMASex, WMAAge, WMAFactor) VALUES (12, 1, 2160, 'F', 94, 0.3045);</t>
  </si>
  <si>
    <t>INSERT INTO tblWMA (WMADistance, WMARoad, WMAWRTime, WMASex, WMAAge, WMAFactor) VALUES (12, 1, 2160, 'F', 95, 0.2796);</t>
  </si>
  <si>
    <t>INSERT INTO tblWMA (WMADistance, WMARoad, WMAWRTime, WMASex, WMAAge, WMAFactor) VALUES (12, 1, 2160, 'F', 96, 0.254);</t>
  </si>
  <si>
    <t>INSERT INTO tblWMA (WMADistance, WMARoad, WMAWRTime, WMASex, WMAAge, WMAFactor) VALUES (12, 1, 2160, 'F', 97, 0.2276);</t>
  </si>
  <si>
    <t>INSERT INTO tblWMA (WMADistance, WMARoad, WMAWRTime, WMASex, WMAAge, WMAFactor) VALUES (12, 1, 2160, 'F', 98, 0.2004);</t>
  </si>
  <si>
    <t>INSERT INTO tblWMA (WMADistance, WMARoad, WMAWRTime, WMASex, WMAAge, WMAFactor) VALUES (12, 1, 2160, 'F', 99, 0.1724);</t>
  </si>
  <si>
    <t>INSERT INTO tblWMA (WMADistance, WMARoad, WMAWRTime, WMASex, WMAAge, WMAFactor) VALUES (12, 1, 2160, 'F', 100, 0.1437);</t>
  </si>
  <si>
    <t>INSERT INTO tblWMA (WMADistance, WMARoad, WMAWRTime, WMASex, WMAAge, WMAFactor) VALUES (15, 1, 2735, 'F', 5, 0.6727);</t>
  </si>
  <si>
    <t>INSERT INTO tblWMA (WMADistance, WMARoad, WMAWRTime, WMASex, WMAAge, WMAFactor) VALUES (15, 1, 2735, 'F', 6, 0.707);</t>
  </si>
  <si>
    <t>INSERT INTO tblWMA (WMADistance, WMARoad, WMAWRTime, WMASex, WMAAge, WMAFactor) VALUES (15, 1, 2735, 'F', 7, 0.7395);</t>
  </si>
  <si>
    <t>INSERT INTO tblWMA (WMADistance, WMARoad, WMAWRTime, WMASex, WMAAge, WMAFactor) VALUES (15, 1, 2735, 'F', 8, 0.7701);</t>
  </si>
  <si>
    <t>INSERT INTO tblWMA (WMADistance, WMARoad, WMAWRTime, WMASex, WMAAge, WMAFactor) VALUES (15, 1, 2735, 'F', 9, 0.7989);</t>
  </si>
  <si>
    <t>INSERT INTO tblWMA (WMADistance, WMARoad, WMAWRTime, WMASex, WMAAge, WMAFactor) VALUES (15, 1, 2735, 'F', 10, 0.826);</t>
  </si>
  <si>
    <t>INSERT INTO tblWMA (WMADistance, WMARoad, WMAWRTime, WMASex, WMAAge, WMAFactor) VALUES (15, 1, 2735, 'F', 11, 0.8511);</t>
  </si>
  <si>
    <t>INSERT INTO tblWMA (WMADistance, WMARoad, WMAWRTime, WMASex, WMAAge, WMAFactor) VALUES (15, 1, 2735, 'F', 12, 0.8745);</t>
  </si>
  <si>
    <t>INSERT INTO tblWMA (WMADistance, WMARoad, WMAWRTime, WMASex, WMAAge, WMAFactor) VALUES (15, 1, 2735, 'F', 13, 0.8961);</t>
  </si>
  <si>
    <t>INSERT INTO tblWMA (WMADistance, WMARoad, WMAWRTime, WMASex, WMAAge, WMAFactor) VALUES (15, 1, 2735, 'F', 14, 0.9158);</t>
  </si>
  <si>
    <t>INSERT INTO tblWMA (WMADistance, WMARoad, WMAWRTime, WMASex, WMAAge, WMAFactor) VALUES (15, 1, 2735, 'F', 15, 0.9337);</t>
  </si>
  <si>
    <t>INSERT INTO tblWMA (WMADistance, WMARoad, WMAWRTime, WMASex, WMAAge, WMAFactor) VALUES (15, 1, 2735, 'F', 16, 0.9507);</t>
  </si>
  <si>
    <t>INSERT INTO tblWMA (WMADistance, WMARoad, WMAWRTime, WMASex, WMAAge, WMAFactor) VALUES (15, 1, 2735, 'F', 17, 0.9677);</t>
  </si>
  <si>
    <t>INSERT INTO tblWMA (WMADistance, WMARoad, WMAWRTime, WMASex, WMAAge, WMAFactor) VALUES (15, 1, 2735, 'F', 18, 0.9825);</t>
  </si>
  <si>
    <t>INSERT INTO tblWMA (WMADistance, WMARoad, WMAWRTime, WMASex, WMAAge, WMAFactor) VALUES (15, 1, 2735, 'F', 19, 0.9928);</t>
  </si>
  <si>
    <t>INSERT INTO tblWMA (WMADistance, WMARoad, WMAWRTime, WMASex, WMAAge, WMAFactor) VALUES (15, 1, 2735, 'F', 20, 0.9986);</t>
  </si>
  <si>
    <t>INSERT INTO tblWMA (WMADistance, WMARoad, WMAWRTime, WMASex, WMAAge, WMAFactor) VALUES (15, 1, 2735, 'F', 21, 1);</t>
  </si>
  <si>
    <t>INSERT INTO tblWMA (WMADistance, WMARoad, WMAWRTime, WMASex, WMAAge, WMAFactor) VALUES (15, 1, 2735, 'F', 22, 1);</t>
  </si>
  <si>
    <t>INSERT INTO tblWMA (WMADistance, WMARoad, WMAWRTime, WMASex, WMAAge, WMAFactor) VALUES (15, 1, 2735, 'F', 23, 1);</t>
  </si>
  <si>
    <t>INSERT INTO tblWMA (WMADistance, WMARoad, WMAWRTime, WMASex, WMAAge, WMAFactor) VALUES (15, 1, 2735, 'F', 24, 1);</t>
  </si>
  <si>
    <t>INSERT INTO tblWMA (WMADistance, WMARoad, WMAWRTime, WMASex, WMAAge, WMAFactor) VALUES (15, 1, 2735, 'F', 25, 1);</t>
  </si>
  <si>
    <t>INSERT INTO tblWMA (WMADistance, WMARoad, WMAWRTime, WMASex, WMAAge, WMAFactor) VALUES (15, 1, 2735, 'F', 26, 1);</t>
  </si>
  <si>
    <t>INSERT INTO tblWMA (WMADistance, WMARoad, WMAWRTime, WMASex, WMAAge, WMAFactor) VALUES (15, 1, 2735, 'F', 27, 1);</t>
  </si>
  <si>
    <t>INSERT INTO tblWMA (WMADistance, WMARoad, WMAWRTime, WMASex, WMAAge, WMAFactor) VALUES (15, 1, 2735, 'F', 28, 1);</t>
  </si>
  <si>
    <t>INSERT INTO tblWMA (WMADistance, WMARoad, WMAWRTime, WMASex, WMAAge, WMAFactor) VALUES (15, 1, 2735, 'F', 29, 0.9998);</t>
  </si>
  <si>
    <t>INSERT INTO tblWMA (WMADistance, WMARoad, WMAWRTime, WMASex, WMAAge, WMAFactor) VALUES (15, 1, 2735, 'F', 30, 0.9991);</t>
  </si>
  <si>
    <t>INSERT INTO tblWMA (WMADistance, WMARoad, WMAWRTime, WMASex, WMAAge, WMAFactor) VALUES (15, 1, 2735, 'F', 31, 0.9979);</t>
  </si>
  <si>
    <t>INSERT INTO tblWMA (WMADistance, WMARoad, WMAWRTime, WMASex, WMAAge, WMAFactor) VALUES (15, 1, 2735, 'F', 32, 0.9963);</t>
  </si>
  <si>
    <t>INSERT INTO tblWMA (WMADistance, WMARoad, WMAWRTime, WMASex, WMAAge, WMAFactor) VALUES (15, 1, 2735, 'F', 33, 0.9941);</t>
  </si>
  <si>
    <t>INSERT INTO tblWMA (WMADistance, WMARoad, WMAWRTime, WMASex, WMAAge, WMAFactor) VALUES (15, 1, 2735, 'F', 34, 0.9914);</t>
  </si>
  <si>
    <t>INSERT INTO tblWMA (WMADistance, WMARoad, WMAWRTime, WMASex, WMAAge, WMAFactor) VALUES (15, 1, 2735, 'F', 35, 0.9883);</t>
  </si>
  <si>
    <t>INSERT INTO tblWMA (WMADistance, WMARoad, WMAWRTime, WMASex, WMAAge, WMAFactor) VALUES (15, 1, 2735, 'F', 36, 0.9847);</t>
  </si>
  <si>
    <t>INSERT INTO tblWMA (WMADistance, WMARoad, WMAWRTime, WMASex, WMAAge, WMAFactor) VALUES (15, 1, 2735, 'F', 37, 0.9806);</t>
  </si>
  <si>
    <t>INSERT INTO tblWMA (WMADistance, WMARoad, WMAWRTime, WMASex, WMAAge, WMAFactor) VALUES (15, 1, 2735, 'F', 38, 0.976);</t>
  </si>
  <si>
    <t>INSERT INTO tblWMA (WMADistance, WMARoad, WMAWRTime, WMASex, WMAAge, WMAFactor) VALUES (15, 1, 2735, 'F', 39, 0.9709);</t>
  </si>
  <si>
    <t>INSERT INTO tblWMA (WMADistance, WMARoad, WMAWRTime, WMASex, WMAAge, WMAFactor) VALUES (15, 1, 2735, 'F', 40, 0.9653);</t>
  </si>
  <si>
    <t>INSERT INTO tblWMA (WMADistance, WMARoad, WMAWRTime, WMASex, WMAAge, WMAFactor) VALUES (15, 1, 2735, 'F', 41, 0.9592);</t>
  </si>
  <si>
    <t>INSERT INTO tblWMA (WMADistance, WMARoad, WMAWRTime, WMASex, WMAAge, WMAFactor) VALUES (15, 1, 2735, 'F', 42, 0.9527);</t>
  </si>
  <si>
    <t>INSERT INTO tblWMA (WMADistance, WMARoad, WMAWRTime, WMASex, WMAAge, WMAFactor) VALUES (15, 1, 2735, 'F', 43, 0.9456);</t>
  </si>
  <si>
    <t>INSERT INTO tblWMA (WMADistance, WMARoad, WMAWRTime, WMASex, WMAAge, WMAFactor) VALUES (15, 1, 2735, 'F', 44, 0.9381);</t>
  </si>
  <si>
    <t>INSERT INTO tblWMA (WMADistance, WMARoad, WMAWRTime, WMASex, WMAAge, WMAFactor) VALUES (15, 1, 2735, 'F', 45, 0.93);</t>
  </si>
  <si>
    <t>INSERT INTO tblWMA (WMADistance, WMARoad, WMAWRTime, WMASex, WMAAge, WMAFactor) VALUES (15, 1, 2735, 'F', 46, 0.9215);</t>
  </si>
  <si>
    <t>INSERT INTO tblWMA (WMADistance, WMARoad, WMAWRTime, WMASex, WMAAge, WMAFactor) VALUES (15, 1, 2735, 'F', 47, 0.9125);</t>
  </si>
  <si>
    <t>INSERT INTO tblWMA (WMADistance, WMARoad, WMAWRTime, WMASex, WMAAge, WMAFactor) VALUES (15, 1, 2735, 'F', 48, 0.903);</t>
  </si>
  <si>
    <t>INSERT INTO tblWMA (WMADistance, WMARoad, WMAWRTime, WMASex, WMAAge, WMAFactor) VALUES (15, 1, 2735, 'F', 49, 0.893);</t>
  </si>
  <si>
    <t>INSERT INTO tblWMA (WMADistance, WMARoad, WMAWRTime, WMASex, WMAAge, WMAFactor) VALUES (15, 1, 2735, 'F', 50, 0.8828);</t>
  </si>
  <si>
    <t>INSERT INTO tblWMA (WMADistance, WMARoad, WMAWRTime, WMASex, WMAAge, WMAFactor) VALUES (15, 1, 2735, 'F', 51, 0.8727);</t>
  </si>
  <si>
    <t>INSERT INTO tblWMA (WMADistance, WMARoad, WMAWRTime, WMASex, WMAAge, WMAFactor) VALUES (15, 1, 2735, 'F', 52, 0.8625);</t>
  </si>
  <si>
    <t>INSERT INTO tblWMA (WMADistance, WMARoad, WMAWRTime, WMASex, WMAAge, WMAFactor) VALUES (15, 1, 2735, 'F', 53, 0.8523);</t>
  </si>
  <si>
    <t>INSERT INTO tblWMA (WMADistance, WMARoad, WMAWRTime, WMASex, WMAAge, WMAFactor) VALUES (15, 1, 2735, 'F', 54, 0.8421);</t>
  </si>
  <si>
    <t>INSERT INTO tblWMA (WMADistance, WMARoad, WMAWRTime, WMASex, WMAAge, WMAFactor) VALUES (15, 1, 2735, 'F', 55, 0.8319);</t>
  </si>
  <si>
    <t>INSERT INTO tblWMA (WMADistance, WMARoad, WMAWRTime, WMASex, WMAAge, WMAFactor) VALUES (15, 1, 2735, 'F', 56, 0.8217);</t>
  </si>
  <si>
    <t>INSERT INTO tblWMA (WMADistance, WMARoad, WMAWRTime, WMASex, WMAAge, WMAFactor) VALUES (15, 1, 2735, 'F', 57, 0.8115);</t>
  </si>
  <si>
    <t>INSERT INTO tblWMA (WMADistance, WMARoad, WMAWRTime, WMASex, WMAAge, WMAFactor) VALUES (15, 1, 2735, 'F', 58, 0.8013);</t>
  </si>
  <si>
    <t>INSERT INTO tblWMA (WMADistance, WMARoad, WMAWRTime, WMASex, WMAAge, WMAFactor) VALUES (15, 1, 2735, 'F', 59, 0.7911);</t>
  </si>
  <si>
    <t>INSERT INTO tblWMA (WMADistance, WMARoad, WMAWRTime, WMASex, WMAAge, WMAFactor) VALUES (15, 1, 2735, 'F', 60, 0.7809);</t>
  </si>
  <si>
    <t>INSERT INTO tblWMA (WMADistance, WMARoad, WMAWRTime, WMASex, WMAAge, WMAFactor) VALUES (15, 1, 2735, 'F', 61, 0.7708);</t>
  </si>
  <si>
    <t>INSERT INTO tblWMA (WMADistance, WMARoad, WMAWRTime, WMASex, WMAAge, WMAFactor) VALUES (15, 1, 2735, 'F', 62, 0.7606);</t>
  </si>
  <si>
    <t>INSERT INTO tblWMA (WMADistance, WMARoad, WMAWRTime, WMASex, WMAAge, WMAFactor) VALUES (15, 1, 2735, 'F', 63, 0.7504);</t>
  </si>
  <si>
    <t>INSERT INTO tblWMA (WMADistance, WMARoad, WMAWRTime, WMASex, WMAAge, WMAFactor) VALUES (15, 1, 2735, 'F', 64, 0.7402);</t>
  </si>
  <si>
    <t>INSERT INTO tblWMA (WMADistance, WMARoad, WMAWRTime, WMASex, WMAAge, WMAFactor) VALUES (15, 1, 2735, 'F', 65, 0.73);</t>
  </si>
  <si>
    <t>INSERT INTO tblWMA (WMADistance, WMARoad, WMAWRTime, WMASex, WMAAge, WMAFactor) VALUES (15, 1, 2735, 'F', 66, 0.7198);</t>
  </si>
  <si>
    <t>INSERT INTO tblWMA (WMADistance, WMARoad, WMAWRTime, WMASex, WMAAge, WMAFactor) VALUES (15, 1, 2735, 'F', 67, 0.7096);</t>
  </si>
  <si>
    <t>INSERT INTO tblWMA (WMADistance, WMARoad, WMAWRTime, WMASex, WMAAge, WMAFactor) VALUES (15, 1, 2735, 'F', 68, 0.6994);</t>
  </si>
  <si>
    <t>INSERT INTO tblWMA (WMADistance, WMARoad, WMAWRTime, WMASex, WMAAge, WMAFactor) VALUES (15, 1, 2735, 'F', 69, 0.6892);</t>
  </si>
  <si>
    <t>INSERT INTO tblWMA (WMADistance, WMARoad, WMAWRTime, WMASex, WMAAge, WMAFactor) VALUES (15, 1, 2735, 'F', 70, 0.6791);</t>
  </si>
  <si>
    <t>INSERT INTO tblWMA (WMADistance, WMARoad, WMAWRTime, WMASex, WMAAge, WMAFactor) VALUES (15, 1, 2735, 'F', 71, 0.6689);</t>
  </si>
  <si>
    <t>INSERT INTO tblWMA (WMADistance, WMARoad, WMAWRTime, WMASex, WMAAge, WMAFactor) VALUES (15, 1, 2735, 'F', 72, 0.6587);</t>
  </si>
  <si>
    <t>INSERT INTO tblWMA (WMADistance, WMARoad, WMAWRTime, WMASex, WMAAge, WMAFactor) VALUES (15, 1, 2735, 'F', 73, 0.6485);</t>
  </si>
  <si>
    <t>INSERT INTO tblWMA (WMADistance, WMARoad, WMAWRTime, WMASex, WMAAge, WMAFactor) VALUES (15, 1, 2735, 'F', 74, 0.6383);</t>
  </si>
  <si>
    <t>INSERT INTO tblWMA (WMADistance, WMARoad, WMAWRTime, WMASex, WMAAge, WMAFactor) VALUES (15, 1, 2735, 'F', 75, 0.6281);</t>
  </si>
  <si>
    <t>INSERT INTO tblWMA (WMADistance, WMARoad, WMAWRTime, WMASex, WMAAge, WMAFactor) VALUES (15, 1, 2735, 'F', 76, 0.6178);</t>
  </si>
  <si>
    <t>INSERT INTO tblWMA (WMADistance, WMARoad, WMAWRTime, WMASex, WMAAge, WMAFactor) VALUES (15, 1, 2735, 'F', 77, 0.6068);</t>
  </si>
  <si>
    <t>INSERT INTO tblWMA (WMADistance, WMARoad, WMAWRTime, WMASex, WMAAge, WMAFactor) VALUES (15, 1, 2735, 'F', 78, 0.5951);</t>
  </si>
  <si>
    <t>INSERT INTO tblWMA (WMADistance, WMARoad, WMAWRTime, WMASex, WMAAge, WMAFactor) VALUES (15, 1, 2735, 'F', 79, 0.5825);</t>
  </si>
  <si>
    <t>INSERT INTO tblWMA (WMADistance, WMARoad, WMAWRTime, WMASex, WMAAge, WMAFactor) VALUES (15, 1, 2735, 'F', 80, 0.5692);</t>
  </si>
  <si>
    <t>INSERT INTO tblWMA (WMADistance, WMARoad, WMAWRTime, WMASex, WMAAge, WMAFactor) VALUES (15, 1, 2735, 'F', 81, 0.5551);</t>
  </si>
  <si>
    <t>INSERT INTO tblWMA (WMADistance, WMARoad, WMAWRTime, WMASex, WMAAge, WMAFactor) VALUES (15, 1, 2735, 'F', 82, 0.5402);</t>
  </si>
  <si>
    <t>INSERT INTO tblWMA (WMADistance, WMARoad, WMAWRTime, WMASex, WMAAge, WMAFactor) VALUES (15, 1, 2735, 'F', 83, 0.5246);</t>
  </si>
  <si>
    <t>INSERT INTO tblWMA (WMADistance, WMARoad, WMAWRTime, WMASex, WMAAge, WMAFactor) VALUES (15, 1, 2735, 'F', 84, 0.5081);</t>
  </si>
  <si>
    <t>INSERT INTO tblWMA (WMADistance, WMARoad, WMAWRTime, WMASex, WMAAge, WMAFactor) VALUES (15, 1, 2735, 'F', 85, 0.4909);</t>
  </si>
  <si>
    <t>INSERT INTO tblWMA (WMADistance, WMARoad, WMAWRTime, WMASex, WMAAge, WMAFactor) VALUES (15, 1, 2735, 'F', 86, 0.4729);</t>
  </si>
  <si>
    <t>INSERT INTO tblWMA (WMADistance, WMARoad, WMAWRTime, WMASex, WMAAge, WMAFactor) VALUES (15, 1, 2735, 'F', 87, 0.4541);</t>
  </si>
  <si>
    <t>INSERT INTO tblWMA (WMADistance, WMARoad, WMAWRTime, WMASex, WMAAge, WMAFactor) VALUES (15, 1, 2735, 'F', 88, 0.4345);</t>
  </si>
  <si>
    <t>INSERT INTO tblWMA (WMADistance, WMARoad, WMAWRTime, WMASex, WMAAge, WMAFactor) VALUES (15, 1, 2735, 'F', 89, 0.4142);</t>
  </si>
  <si>
    <t>INSERT INTO tblWMA (WMADistance, WMARoad, WMAWRTime, WMASex, WMAAge, WMAFactor) VALUES (15, 1, 2735, 'F', 90, 0.3931);</t>
  </si>
  <si>
    <t>INSERT INTO tblWMA (WMADistance, WMARoad, WMAWRTime, WMASex, WMAAge, WMAFactor) VALUES (15, 1, 2735, 'F', 91, 0.3712);</t>
  </si>
  <si>
    <t>INSERT INTO tblWMA (WMADistance, WMARoad, WMAWRTime, WMASex, WMAAge, WMAFactor) VALUES (15, 1, 2735, 'F', 92, 0.3485);</t>
  </si>
  <si>
    <t>INSERT INTO tblWMA (WMADistance, WMARoad, WMAWRTime, WMASex, WMAAge, WMAFactor) VALUES (15, 1, 2735, 'F', 93, 0.325);</t>
  </si>
  <si>
    <t>INSERT INTO tblWMA (WMADistance, WMARoad, WMAWRTime, WMASex, WMAAge, WMAFactor) VALUES (15, 1, 2735, 'F', 94, 0.3007);</t>
  </si>
  <si>
    <t>INSERT INTO tblWMA (WMADistance, WMARoad, WMAWRTime, WMASex, WMAAge, WMAFactor) VALUES (15, 1, 2735, 'F', 95, 0.2757);</t>
  </si>
  <si>
    <t>INSERT INTO tblWMA (WMADistance, WMARoad, WMAWRTime, WMASex, WMAAge, WMAFactor) VALUES (15, 1, 2735, 'F', 96, 0.2499);</t>
  </si>
  <si>
    <t>INSERT INTO tblWMA (WMADistance, WMARoad, WMAWRTime, WMASex, WMAAge, WMAFactor) VALUES (15, 1, 2735, 'F', 97, 0.2233);</t>
  </si>
  <si>
    <t>INSERT INTO tblWMA (WMADistance, WMARoad, WMAWRTime, WMASex, WMAAge, WMAFactor) VALUES (15, 1, 2735, 'F', 98, 0.1959);</t>
  </si>
  <si>
    <t>INSERT INTO tblWMA (WMADistance, WMARoad, WMAWRTime, WMASex, WMAAge, WMAFactor) VALUES (15, 1, 2735, 'F', 99, 0.1678);</t>
  </si>
  <si>
    <t>INSERT INTO tblWMA (WMADistance, WMARoad, WMAWRTime, WMASex, WMAAge, WMAFactor) VALUES (15, 1, 2735, 'F', 100, 0.1389);</t>
  </si>
  <si>
    <t>INSERT INTO tblWMA (WMADistance, WMARoad, WMAWRTime, WMASex, WMAAge, WMAFactor) VALUES (16.093, 1, 2940, 'F', 5, 0.6673);</t>
  </si>
  <si>
    <t>INSERT INTO tblWMA (WMADistance, WMARoad, WMAWRTime, WMASex, WMAAge, WMAFactor) VALUES (16.093, 1, 2940, 'F', 6, 0.7018);</t>
  </si>
  <si>
    <t>INSERT INTO tblWMA (WMADistance, WMARoad, WMAWRTime, WMASex, WMAAge, WMAFactor) VALUES (16.093, 1, 2940, 'F', 7, 0.7345);</t>
  </si>
  <si>
    <t>INSERT INTO tblWMA (WMADistance, WMARoad, WMAWRTime, WMASex, WMAAge, WMAFactor) VALUES (16.093, 1, 2940, 'F', 8, 0.7654);</t>
  </si>
  <si>
    <t>INSERT INTO tblWMA (WMADistance, WMARoad, WMAWRTime, WMASex, WMAAge, WMAFactor) VALUES (16.093, 1, 2940, 'F', 9, 0.7944);</t>
  </si>
  <si>
    <t>INSERT INTO tblWMA (WMADistance, WMARoad, WMAWRTime, WMASex, WMAAge, WMAFactor) VALUES (16.093, 1, 2940, 'F', 10, 0.8216);</t>
  </si>
  <si>
    <t>INSERT INTO tblWMA (WMADistance, WMARoad, WMAWRTime, WMASex, WMAAge, WMAFactor) VALUES (16.093, 1, 2940, 'F', 11, 0.847);</t>
  </si>
  <si>
    <t>INSERT INTO tblWMA (WMADistance, WMARoad, WMAWRTime, WMASex, WMAAge, WMAFactor) VALUES (16.093, 1, 2940, 'F', 12, 0.8706);</t>
  </si>
  <si>
    <t>INSERT INTO tblWMA (WMADistance, WMARoad, WMAWRTime, WMASex, WMAAge, WMAFactor) VALUES (16.093, 1, 2940, 'F', 13, 0.8923);</t>
  </si>
  <si>
    <t>INSERT INTO tblWMA (WMADistance, WMARoad, WMAWRTime, WMASex, WMAAge, WMAFactor) VALUES (16.093, 1, 2940, 'F', 14, 0.9122);</t>
  </si>
  <si>
    <t>INSERT INTO tblWMA (WMADistance, WMARoad, WMAWRTime, WMASex, WMAAge, WMAFactor) VALUES (16.093, 1, 2940, 'F', 15, 0.9303);</t>
  </si>
  <si>
    <t>INSERT INTO tblWMA (WMADistance, WMARoad, WMAWRTime, WMASex, WMAAge, WMAFactor) VALUES (16.093, 1, 2940, 'F', 16, 0.9475);</t>
  </si>
  <si>
    <t>INSERT INTO tblWMA (WMADistance, WMARoad, WMAWRTime, WMASex, WMAAge, WMAFactor) VALUES (16.093, 1, 2940, 'F', 17, 0.9647);</t>
  </si>
  <si>
    <t>INSERT INTO tblWMA (WMADistance, WMARoad, WMAWRTime, WMASex, WMAAge, WMAFactor) VALUES (16.093, 1, 2940, 'F', 18, 0.9798);</t>
  </si>
  <si>
    <t>INSERT INTO tblWMA (WMADistance, WMARoad, WMAWRTime, WMASex, WMAAge, WMAFactor) VALUES (16.093, 1, 2940, 'F', 19, 0.9907);</t>
  </si>
  <si>
    <t>INSERT INTO tblWMA (WMADistance, WMARoad, WMAWRTime, WMASex, WMAAge, WMAFactor) VALUES (16.093, 1, 2940, 'F', 20, 0.9975);</t>
  </si>
  <si>
    <t>INSERT INTO tblWMA (WMADistance, WMARoad, WMAWRTime, WMASex, WMAAge, WMAFactor) VALUES (16.093, 1, 2940, 'F', 21, 1);</t>
  </si>
  <si>
    <t>INSERT INTO tblWMA (WMADistance, WMARoad, WMAWRTime, WMASex, WMAAge, WMAFactor) VALUES (16.093, 1, 2940, 'F', 22, 1);</t>
  </si>
  <si>
    <t>INSERT INTO tblWMA (WMADistance, WMARoad, WMAWRTime, WMASex, WMAAge, WMAFactor) VALUES (16.093, 1, 2940, 'F', 23, 1);</t>
  </si>
  <si>
    <t>INSERT INTO tblWMA (WMADistance, WMARoad, WMAWRTime, WMASex, WMAAge, WMAFactor) VALUES (16.093, 1, 2940, 'F', 24, 1);</t>
  </si>
  <si>
    <t>INSERT INTO tblWMA (WMADistance, WMARoad, WMAWRTime, WMASex, WMAAge, WMAFactor) VALUES (16.093, 1, 2940, 'F', 25, 1);</t>
  </si>
  <si>
    <t>INSERT INTO tblWMA (WMADistance, WMARoad, WMAWRTime, WMASex, WMAAge, WMAFactor) VALUES (16.093, 1, 2940, 'F', 26, 1);</t>
  </si>
  <si>
    <t>INSERT INTO tblWMA (WMADistance, WMARoad, WMAWRTime, WMASex, WMAAge, WMAFactor) VALUES (16.093, 1, 2940, 'F', 27, 1);</t>
  </si>
  <si>
    <t>INSERT INTO tblWMA (WMADistance, WMARoad, WMAWRTime, WMASex, WMAAge, WMAFactor) VALUES (16.093, 1, 2940, 'F', 28, 1);</t>
  </si>
  <si>
    <t>INSERT INTO tblWMA (WMADistance, WMARoad, WMAWRTime, WMASex, WMAAge, WMAFactor) VALUES (16.093, 1, 2940, 'F', 29, 0.9999);</t>
  </si>
  <si>
    <t>INSERT INTO tblWMA (WMADistance, WMARoad, WMAWRTime, WMASex, WMAAge, WMAFactor) VALUES (16.093, 1, 2940, 'F', 30, 0.9993);</t>
  </si>
  <si>
    <t>INSERT INTO tblWMA (WMADistance, WMARoad, WMAWRTime, WMASex, WMAAge, WMAFactor) VALUES (16.093, 1, 2940, 'F', 31, 0.9982);</t>
  </si>
  <si>
    <t>INSERT INTO tblWMA (WMADistance, WMARoad, WMAWRTime, WMASex, WMAAge, WMAFactor) VALUES (16.093, 1, 2940, 'F', 32, 0.9965);</t>
  </si>
  <si>
    <t>INSERT INTO tblWMA (WMADistance, WMARoad, WMAWRTime, WMASex, WMAAge, WMAFactor) VALUES (16.093, 1, 2940, 'F', 33, 0.9944);</t>
  </si>
  <si>
    <t>INSERT INTO tblWMA (WMADistance, WMARoad, WMAWRTime, WMASex, WMAAge, WMAFactor) VALUES (16.093, 1, 2940, 'F', 34, 0.9919);</t>
  </si>
  <si>
    <t>INSERT INTO tblWMA (WMADistance, WMARoad, WMAWRTime, WMASex, WMAAge, WMAFactor) VALUES (16.093, 1, 2940, 'F', 35, 0.9888);</t>
  </si>
  <si>
    <t>INSERT INTO tblWMA (WMADistance, WMARoad, WMAWRTime, WMASex, WMAAge, WMAFactor) VALUES (16.093, 1, 2940, 'F', 36, 0.9852);</t>
  </si>
  <si>
    <t>INSERT INTO tblWMA (WMADistance, WMARoad, WMAWRTime, WMASex, WMAAge, WMAFactor) VALUES (16.093, 1, 2940, 'F', 37, 0.9811);</t>
  </si>
  <si>
    <t>INSERT INTO tblWMA (WMADistance, WMARoad, WMAWRTime, WMASex, WMAAge, WMAFactor) VALUES (16.093, 1, 2940, 'F', 38, 0.9765);</t>
  </si>
  <si>
    <t>INSERT INTO tblWMA (WMADistance, WMARoad, WMAWRTime, WMASex, WMAAge, WMAFactor) VALUES (16.093, 1, 2940, 'F', 39, 0.9714);</t>
  </si>
  <si>
    <t>INSERT INTO tblWMA (WMADistance, WMARoad, WMAWRTime, WMASex, WMAAge, WMAFactor) VALUES (16.093, 1, 2940, 'F', 40, 0.9658);</t>
  </si>
  <si>
    <t>INSERT INTO tblWMA (WMADistance, WMARoad, WMAWRTime, WMASex, WMAAge, WMAFactor) VALUES (16.093, 1, 2940, 'F', 41, 0.9597);</t>
  </si>
  <si>
    <t>INSERT INTO tblWMA (WMADistance, WMARoad, WMAWRTime, WMASex, WMAAge, WMAFactor) VALUES (16.093, 1, 2940, 'F', 42, 0.9532);</t>
  </si>
  <si>
    <t>INSERT INTO tblWMA (WMADistance, WMARoad, WMAWRTime, WMASex, WMAAge, WMAFactor) VALUES (16.093, 1, 2940, 'F', 43, 0.9461);</t>
  </si>
  <si>
    <t>INSERT INTO tblWMA (WMADistance, WMARoad, WMAWRTime, WMASex, WMAAge, WMAFactor) VALUES (16.093, 1, 2940, 'F', 44, 0.9385);</t>
  </si>
  <si>
    <t>INSERT INTO tblWMA (WMADistance, WMARoad, WMAWRTime, WMASex, WMAAge, WMAFactor) VALUES (16.093, 1, 2940, 'F', 45, 0.9304);</t>
  </si>
  <si>
    <t>INSERT INTO tblWMA (WMADistance, WMARoad, WMAWRTime, WMASex, WMAAge, WMAFactor) VALUES (16.093, 1, 2940, 'F', 46, 0.9219);</t>
  </si>
  <si>
    <t>INSERT INTO tblWMA (WMADistance, WMARoad, WMAWRTime, WMASex, WMAAge, WMAFactor) VALUES (16.093, 1, 2940, 'F', 47, 0.9128);</t>
  </si>
  <si>
    <t>INSERT INTO tblWMA (WMADistance, WMARoad, WMAWRTime, WMASex, WMAAge, WMAFactor) VALUES (16.093, 1, 2940, 'F', 48, 0.9033);</t>
  </si>
  <si>
    <t>INSERT INTO tblWMA (WMADistance, WMARoad, WMAWRTime, WMASex, WMAAge, WMAFactor) VALUES (16.093, 1, 2940, 'F', 49, 0.8932);</t>
  </si>
  <si>
    <t>INSERT INTO tblWMA (WMADistance, WMARoad, WMAWRTime, WMASex, WMAAge, WMAFactor) VALUES (16.093, 1, 2940, 'F', 50, 0.883);</t>
  </si>
  <si>
    <t>INSERT INTO tblWMA (WMADistance, WMARoad, WMAWRTime, WMASex, WMAAge, WMAFactor) VALUES (16.093, 1, 2940, 'F', 51, 0.8727);</t>
  </si>
  <si>
    <t>INSERT INTO tblWMA (WMADistance, WMARoad, WMAWRTime, WMASex, WMAAge, WMAFactor) VALUES (16.093, 1, 2940, 'F', 52, 0.8625);</t>
  </si>
  <si>
    <t>INSERT INTO tblWMA (WMADistance, WMARoad, WMAWRTime, WMASex, WMAAge, WMAFactor) VALUES (16.093, 1, 2940, 'F', 53, 0.8523);</t>
  </si>
  <si>
    <t>INSERT INTO tblWMA (WMADistance, WMARoad, WMAWRTime, WMASex, WMAAge, WMAFactor) VALUES (16.093, 1, 2940, 'F', 54, 0.842);</t>
  </si>
  <si>
    <t>INSERT INTO tblWMA (WMADistance, WMARoad, WMAWRTime, WMASex, WMAAge, WMAFactor) VALUES (16.093, 1, 2940, 'F', 55, 0.8318);</t>
  </si>
  <si>
    <t>INSERT INTO tblWMA (WMADistance, WMARoad, WMAWRTime, WMASex, WMAAge, WMAFactor) VALUES (16.093, 1, 2940, 'F', 56, 0.8216);</t>
  </si>
  <si>
    <t>INSERT INTO tblWMA (WMADistance, WMARoad, WMAWRTime, WMASex, WMAAge, WMAFactor) VALUES (16.093, 1, 2940, 'F', 57, 0.8113);</t>
  </si>
  <si>
    <t>INSERT INTO tblWMA (WMADistance, WMARoad, WMAWRTime, WMASex, WMAAge, WMAFactor) VALUES (16.093, 1, 2940, 'F', 58, 0.8011);</t>
  </si>
  <si>
    <t>INSERT INTO tblWMA (WMADistance, WMARoad, WMAWRTime, WMASex, WMAAge, WMAFactor) VALUES (16.093, 1, 2940, 'F', 59, 0.7909);</t>
  </si>
  <si>
    <t>INSERT INTO tblWMA (WMADistance, WMARoad, WMAWRTime, WMASex, WMAAge, WMAFactor) VALUES (16.093, 1, 2940, 'F', 60, 0.7806);</t>
  </si>
  <si>
    <t>INSERT INTO tblWMA (WMADistance, WMARoad, WMAWRTime, WMASex, WMAAge, WMAFactor) VALUES (16.093, 1, 2940, 'F', 61, 0.7704);</t>
  </si>
  <si>
    <t>INSERT INTO tblWMA (WMADistance, WMARoad, WMAWRTime, WMASex, WMAAge, WMAFactor) VALUES (16.093, 1, 2940, 'F', 62, 0.7602);</t>
  </si>
  <si>
    <t>INSERT INTO tblWMA (WMADistance, WMARoad, WMAWRTime, WMASex, WMAAge, WMAFactor) VALUES (16.093, 1, 2940, 'F', 63, 0.7499);</t>
  </si>
  <si>
    <t>INSERT INTO tblWMA (WMADistance, WMARoad, WMAWRTime, WMASex, WMAAge, WMAFactor) VALUES (16.093, 1, 2940, 'F', 64, 0.7397);</t>
  </si>
  <si>
    <t>INSERT INTO tblWMA (WMADistance, WMARoad, WMAWRTime, WMASex, WMAAge, WMAFactor) VALUES (16.093, 1, 2940, 'F', 65, 0.7295);</t>
  </si>
  <si>
    <t>INSERT INTO tblWMA (WMADistance, WMARoad, WMAWRTime, WMASex, WMAAge, WMAFactor) VALUES (16.093, 1, 2940, 'F', 66, 0.7192);</t>
  </si>
  <si>
    <t>INSERT INTO tblWMA (WMADistance, WMARoad, WMAWRTime, WMASex, WMAAge, WMAFactor) VALUES (16.093, 1, 2940, 'F', 67, 0.709);</t>
  </si>
  <si>
    <t>INSERT INTO tblWMA (WMADistance, WMARoad, WMAWRTime, WMASex, WMAAge, WMAFactor) VALUES (16.093, 1, 2940, 'F', 68, 0.6988);</t>
  </si>
  <si>
    <t>INSERT INTO tblWMA (WMADistance, WMARoad, WMAWRTime, WMASex, WMAAge, WMAFactor) VALUES (16.093, 1, 2940, 'F', 69, 0.6885);</t>
  </si>
  <si>
    <t>INSERT INTO tblWMA (WMADistance, WMARoad, WMAWRTime, WMASex, WMAAge, WMAFactor) VALUES (16.093, 1, 2940, 'F', 70, 0.6783);</t>
  </si>
  <si>
    <t>INSERT INTO tblWMA (WMADistance, WMARoad, WMAWRTime, WMASex, WMAAge, WMAFactor) VALUES (16.093, 1, 2940, 'F', 71, 0.6681);</t>
  </si>
  <si>
    <t>INSERT INTO tblWMA (WMADistance, WMARoad, WMAWRTime, WMASex, WMAAge, WMAFactor) VALUES (16.093, 1, 2940, 'F', 72, 0.6578);</t>
  </si>
  <si>
    <t>INSERT INTO tblWMA (WMADistance, WMARoad, WMAWRTime, WMASex, WMAAge, WMAFactor) VALUES (16.093, 1, 2940, 'F', 73, 0.6476);</t>
  </si>
  <si>
    <t>INSERT INTO tblWMA (WMADistance, WMARoad, WMAWRTime, WMASex, WMAAge, WMAFactor) VALUES (16.093, 1, 2940, 'F', 74, 0.6374);</t>
  </si>
  <si>
    <t>INSERT INTO tblWMA (WMADistance, WMARoad, WMAWRTime, WMASex, WMAAge, WMAFactor) VALUES (16.093, 1, 2940, 'F', 75, 0.6271);</t>
  </si>
  <si>
    <t>INSERT INTO tblWMA (WMADistance, WMARoad, WMAWRTime, WMASex, WMAAge, WMAFactor) VALUES (16.093, 1, 2940, 'F', 76, 0.6168);</t>
  </si>
  <si>
    <t>INSERT INTO tblWMA (WMADistance, WMARoad, WMAWRTime, WMASex, WMAAge, WMAFactor) VALUES (16.093, 1, 2940, 'F', 77, 0.6059);</t>
  </si>
  <si>
    <t>INSERT INTO tblWMA (WMADistance, WMARoad, WMAWRTime, WMASex, WMAAge, WMAFactor) VALUES (16.093, 1, 2940, 'F', 78, 0.5941);</t>
  </si>
  <si>
    <t>INSERT INTO tblWMA (WMADistance, WMARoad, WMAWRTime, WMASex, WMAAge, WMAFactor) VALUES (16.093, 1, 2940, 'F', 79, 0.5816);</t>
  </si>
  <si>
    <t>INSERT INTO tblWMA (WMADistance, WMARoad, WMAWRTime, WMASex, WMAAge, WMAFactor) VALUES (16.093, 1, 2940, 'F', 80, 0.5683);</t>
  </si>
  <si>
    <t>INSERT INTO tblWMA (WMADistance, WMARoad, WMAWRTime, WMASex, WMAAge, WMAFactor) VALUES (16.093, 1, 2940, 'F', 81, 0.5542);</t>
  </si>
  <si>
    <t>INSERT INTO tblWMA (WMADistance, WMARoad, WMAWRTime, WMASex, WMAAge, WMAFactor) VALUES (16.093, 1, 2940, 'F', 82, 0.5393);</t>
  </si>
  <si>
    <t>INSERT INTO tblWMA (WMADistance, WMARoad, WMAWRTime, WMASex, WMAAge, WMAFactor) VALUES (16.093, 1, 2940, 'F', 83, 0.5237);</t>
  </si>
  <si>
    <t>INSERT INTO tblWMA (WMADistance, WMARoad, WMAWRTime, WMASex, WMAAge, WMAFactor) VALUES (16.093, 1, 2940, 'F', 84, 0.5072);</t>
  </si>
  <si>
    <t>INSERT INTO tblWMA (WMADistance, WMARoad, WMAWRTime, WMASex, WMAAge, WMAFactor) VALUES (16.093, 1, 2940, 'F', 85, 0.49);</t>
  </si>
  <si>
    <t>INSERT INTO tblWMA (WMADistance, WMARoad, WMAWRTime, WMASex, WMAAge, WMAFactor) VALUES (16.093, 1, 2940, 'F', 86, 0.472);</t>
  </si>
  <si>
    <t>INSERT INTO tblWMA (WMADistance, WMARoad, WMAWRTime, WMASex, WMAAge, WMAFactor) VALUES (16.093, 1, 2940, 'F', 87, 0.4532);</t>
  </si>
  <si>
    <t>INSERT INTO tblWMA (WMADistance, WMARoad, WMAWRTime, WMASex, WMAAge, WMAFactor) VALUES (16.093, 1, 2940, 'F', 88, 0.4336);</t>
  </si>
  <si>
    <t>INSERT INTO tblWMA (WMADistance, WMARoad, WMAWRTime, WMASex, WMAAge, WMAFactor) VALUES (16.093, 1, 2940, 'F', 89, 0.4132);</t>
  </si>
  <si>
    <t>INSERT INTO tblWMA (WMADistance, WMARoad, WMAWRTime, WMASex, WMAAge, WMAFactor) VALUES (16.093, 1, 2940, 'F', 90, 0.392);</t>
  </si>
  <si>
    <t>INSERT INTO tblWMA (WMADistance, WMARoad, WMAWRTime, WMASex, WMAAge, WMAFactor) VALUES (16.093, 1, 2940, 'F', 91, 0.3701);</t>
  </si>
  <si>
    <t>INSERT INTO tblWMA (WMADistance, WMARoad, WMAWRTime, WMASex, WMAAge, WMAFactor) VALUES (16.093, 1, 2940, 'F', 92, 0.3474);</t>
  </si>
  <si>
    <t>INSERT INTO tblWMA (WMADistance, WMARoad, WMAWRTime, WMASex, WMAAge, WMAFactor) VALUES (16.093, 1, 2940, 'F', 93, 0.3239);</t>
  </si>
  <si>
    <t>INSERT INTO tblWMA (WMADistance, WMARoad, WMAWRTime, WMASex, WMAAge, WMAFactor) VALUES (16.093, 1, 2940, 'F', 94, 0.2996);</t>
  </si>
  <si>
    <t>INSERT INTO tblWMA (WMADistance, WMARoad, WMAWRTime, WMASex, WMAAge, WMAFactor) VALUES (16.093, 1, 2940, 'F', 95, 0.2745);</t>
  </si>
  <si>
    <t>INSERT INTO tblWMA (WMADistance, WMARoad, WMAWRTime, WMASex, WMAAge, WMAFactor) VALUES (16.093, 1, 2940, 'F', 96, 0.2486);</t>
  </si>
  <si>
    <t>INSERT INTO tblWMA (WMADistance, WMARoad, WMAWRTime, WMASex, WMAAge, WMAFactor) VALUES (16.093, 1, 2940, 'F', 97, 0.222);</t>
  </si>
  <si>
    <t>INSERT INTO tblWMA (WMADistance, WMARoad, WMAWRTime, WMASex, WMAAge, WMAFactor) VALUES (16.093, 1, 2940, 'F', 98, 0.1946);</t>
  </si>
  <si>
    <t>INSERT INTO tblWMA (WMADistance, WMARoad, WMAWRTime, WMASex, WMAAge, WMAFactor) VALUES (16.093, 1, 2940, 'F', 99, 0.1664);</t>
  </si>
  <si>
    <t>INSERT INTO tblWMA (WMADistance, WMARoad, WMAWRTime, WMASex, WMAAge, WMAFactor) VALUES (16.093, 1, 2940, 'F', 100, 0.1374);</t>
  </si>
  <si>
    <t>INSERT INTO tblWMA (WMADistance, WMARoad, WMAWRTime, WMASex, WMAAge, WMAFactor) VALUES (20, 1, 3690, 'F', 5, 0.6417);</t>
  </si>
  <si>
    <t>INSERT INTO tblWMA (WMADistance, WMARoad, WMAWRTime, WMASex, WMAAge, WMAFactor) VALUES (20, 1, 3690, 'F', 6, 0.6775);</t>
  </si>
  <si>
    <t>INSERT INTO tblWMA (WMADistance, WMARoad, WMAWRTime, WMASex, WMAAge, WMAFactor) VALUES (20, 1, 3690, 'F', 7, 0.7114);</t>
  </si>
  <si>
    <t>INSERT INTO tblWMA (WMADistance, WMARoad, WMAWRTime, WMASex, WMAAge, WMAFactor) VALUES (20, 1, 3690, 'F', 8, 0.7436);</t>
  </si>
  <si>
    <t>INSERT INTO tblWMA (WMADistance, WMARoad, WMAWRTime, WMASex, WMAAge, WMAFactor) VALUES (20, 1, 3690, 'F', 9, 0.7739);</t>
  </si>
  <si>
    <t>INSERT INTO tblWMA (WMADistance, WMARoad, WMAWRTime, WMASex, WMAAge, WMAFactor) VALUES (20, 1, 3690, 'F', 10, 0.8024);</t>
  </si>
  <si>
    <t>INSERT INTO tblWMA (WMADistance, WMARoad, WMAWRTime, WMASex, WMAAge, WMAFactor) VALUES (20, 1, 3690, 'F', 11, 0.8291);</t>
  </si>
  <si>
    <t>INSERT INTO tblWMA (WMADistance, WMARoad, WMAWRTime, WMASex, WMAAge, WMAFactor) VALUES (20, 1, 3690, 'F', 12, 0.854);</t>
  </si>
  <si>
    <t>INSERT INTO tblWMA (WMADistance, WMARoad, WMAWRTime, WMASex, WMAAge, WMAFactor) VALUES (20, 1, 3690, 'F', 13, 0.877);</t>
  </si>
  <si>
    <t>INSERT INTO tblWMA (WMADistance, WMARoad, WMAWRTime, WMASex, WMAAge, WMAFactor) VALUES (20, 1, 3690, 'F', 14, 0.8983);</t>
  </si>
  <si>
    <t>INSERT INTO tblWMA (WMADistance, WMARoad, WMAWRTime, WMASex, WMAAge, WMAFactor) VALUES (20, 1, 3690, 'F', 15, 0.9177);</t>
  </si>
  <si>
    <t>INSERT INTO tblWMA (WMADistance, WMARoad, WMAWRTime, WMASex, WMAAge, WMAFactor) VALUES (20, 1, 3690, 'F', 16, 0.9362);</t>
  </si>
  <si>
    <t>INSERT INTO tblWMA (WMADistance, WMARoad, WMAWRTime, WMASex, WMAAge, WMAFactor) VALUES (20, 1, 3690, 'F', 17, 0.9547);</t>
  </si>
  <si>
    <t>INSERT INTO tblWMA (WMADistance, WMARoad, WMAWRTime, WMASex, WMAAge, WMAFactor) VALUES (20, 1, 3690, 'F', 18, 0.9713);</t>
  </si>
  <si>
    <t>INSERT INTO tblWMA (WMADistance, WMARoad, WMAWRTime, WMASex, WMAAge, WMAFactor) VALUES (20, 1, 3690, 'F', 19, 0.9841);</t>
  </si>
  <si>
    <t>INSERT INTO tblWMA (WMADistance, WMARoad, WMAWRTime, WMASex, WMAAge, WMAFactor) VALUES (20, 1, 3690, 'F', 20, 0.9932);</t>
  </si>
  <si>
    <t>INSERT INTO tblWMA (WMADistance, WMARoad, WMAWRTime, WMASex, WMAAge, WMAFactor) VALUES (20, 1, 3690, 'F', 21, 0.9985);</t>
  </si>
  <si>
    <t>INSERT INTO tblWMA (WMADistance, WMARoad, WMAWRTime, WMASex, WMAAge, WMAFactor) VALUES (20, 1, 3690, 'F', 22, 1);</t>
  </si>
  <si>
    <t>INSERT INTO tblWMA (WMADistance, WMARoad, WMAWRTime, WMASex, WMAAge, WMAFactor) VALUES (20, 1, 3690, 'F', 23, 1);</t>
  </si>
  <si>
    <t>INSERT INTO tblWMA (WMADistance, WMARoad, WMAWRTime, WMASex, WMAAge, WMAFactor) VALUES (20, 1, 3690, 'F', 24, 1);</t>
  </si>
  <si>
    <t>INSERT INTO tblWMA (WMADistance, WMARoad, WMAWRTime, WMASex, WMAAge, WMAFactor) VALUES (20, 1, 3690, 'F', 25, 1);</t>
  </si>
  <si>
    <t>INSERT INTO tblWMA (WMADistance, WMARoad, WMAWRTime, WMASex, WMAAge, WMAFactor) VALUES (20, 1, 3690, 'F', 26, 1);</t>
  </si>
  <si>
    <t>INSERT INTO tblWMA (WMADistance, WMARoad, WMAWRTime, WMASex, WMAAge, WMAFactor) VALUES (20, 1, 3690, 'F', 27, 1);</t>
  </si>
  <si>
    <t>INSERT INTO tblWMA (WMADistance, WMARoad, WMAWRTime, WMASex, WMAAge, WMAFactor) VALUES (20, 1, 3690, 'F', 28, 1);</t>
  </si>
  <si>
    <t>INSERT INTO tblWMA (WMADistance, WMARoad, WMAWRTime, WMASex, WMAAge, WMAFactor) VALUES (20, 1, 3690, 'F', 29, 1);</t>
  </si>
  <si>
    <t>INSERT INTO tblWMA (WMADistance, WMARoad, WMAWRTime, WMASex, WMAAge, WMAFactor) VALUES (20, 1, 3690, 'F', 30, 0.9997);</t>
  </si>
  <si>
    <t>INSERT INTO tblWMA (WMADistance, WMARoad, WMAWRTime, WMASex, WMAAge, WMAFactor) VALUES (20, 1, 3690, 'F', 31, 0.9988);</t>
  </si>
  <si>
    <t>INSERT INTO tblWMA (WMADistance, WMARoad, WMAWRTime, WMASex, WMAAge, WMAFactor) VALUES (20, 1, 3690, 'F', 32, 0.9974);</t>
  </si>
  <si>
    <t>INSERT INTO tblWMA (WMADistance, WMARoad, WMAWRTime, WMASex, WMAAge, WMAFactor) VALUES (20, 1, 3690, 'F', 33, 0.9955);</t>
  </si>
  <si>
    <t>INSERT INTO tblWMA (WMADistance, WMARoad, WMAWRTime, WMASex, WMAAge, WMAFactor) VALUES (20, 1, 3690, 'F', 34, 0.9931);</t>
  </si>
  <si>
    <t>INSERT INTO tblWMA (WMADistance, WMARoad, WMAWRTime, WMASex, WMAAge, WMAFactor) VALUES (20, 1, 3690, 'F', 35, 0.9901);</t>
  </si>
  <si>
    <t>INSERT INTO tblWMA (WMADistance, WMARoad, WMAWRTime, WMASex, WMAAge, WMAFactor) VALUES (20, 1, 3690, 'F', 36, 0.9866);</t>
  </si>
  <si>
    <t>INSERT INTO tblWMA (WMADistance, WMARoad, WMAWRTime, WMASex, WMAAge, WMAFactor) VALUES (20, 1, 3690, 'F', 37, 0.9826);</t>
  </si>
  <si>
    <t>INSERT INTO tblWMA (WMADistance, WMARoad, WMAWRTime, WMASex, WMAAge, WMAFactor) VALUES (20, 1, 3690, 'F', 38, 0.9781);</t>
  </si>
  <si>
    <t>INSERT INTO tblWMA (WMADistance, WMARoad, WMAWRTime, WMASex, WMAAge, WMAFactor) VALUES (20, 1, 3690, 'F', 39, 0.9731);</t>
  </si>
  <si>
    <t>INSERT INTO tblWMA (WMADistance, WMARoad, WMAWRTime, WMASex, WMAAge, WMAFactor) VALUES (20, 1, 3690, 'F', 40, 0.9675);</t>
  </si>
  <si>
    <t>INSERT INTO tblWMA (WMADistance, WMARoad, WMAWRTime, WMASex, WMAAge, WMAFactor) VALUES (20, 1, 3690, 'F', 41, 0.9614);</t>
  </si>
  <si>
    <t>INSERT INTO tblWMA (WMADistance, WMARoad, WMAWRTime, WMASex, WMAAge, WMAFactor) VALUES (20, 1, 3690, 'F', 42, 0.9548);</t>
  </si>
  <si>
    <t>INSERT INTO tblWMA (WMADistance, WMARoad, WMAWRTime, WMASex, WMAAge, WMAFactor) VALUES (20, 1, 3690, 'F', 43, 0.9476);</t>
  </si>
  <si>
    <t>INSERT INTO tblWMA (WMADistance, WMARoad, WMAWRTime, WMASex, WMAAge, WMAFactor) VALUES (20, 1, 3690, 'F', 44, 0.9399);</t>
  </si>
  <si>
    <t>INSERT INTO tblWMA (WMADistance, WMARoad, WMAWRTime, WMASex, WMAAge, WMAFactor) VALUES (20, 1, 3690, 'F', 45, 0.9318);</t>
  </si>
  <si>
    <t>INSERT INTO tblWMA (WMADistance, WMARoad, WMAWRTime, WMASex, WMAAge, WMAFactor) VALUES (20, 1, 3690, 'F', 46, 0.923);</t>
  </si>
  <si>
    <t>INSERT INTO tblWMA (WMADistance, WMARoad, WMAWRTime, WMASex, WMAAge, WMAFactor) VALUES (20, 1, 3690, 'F', 47, 0.9138);</t>
  </si>
  <si>
    <t>INSERT INTO tblWMA (WMADistance, WMARoad, WMAWRTime, WMASex, WMAAge, WMAFactor) VALUES (20, 1, 3690, 'F', 48, 0.904);</t>
  </si>
  <si>
    <t>INSERT INTO tblWMA (WMADistance, WMARoad, WMAWRTime, WMASex, WMAAge, WMAFactor) VALUES (20, 1, 3690, 'F', 49, 0.8938);</t>
  </si>
  <si>
    <t>INSERT INTO tblWMA (WMADistance, WMARoad, WMAWRTime, WMASex, WMAAge, WMAFactor) VALUES (20, 1, 3690, 'F', 50, 0.8834);</t>
  </si>
  <si>
    <t>INSERT INTO tblWMA (WMADistance, WMARoad, WMAWRTime, WMASex, WMAAge, WMAFactor) VALUES (20, 1, 3690, 'F', 51, 0.873);</t>
  </si>
  <si>
    <t>INSERT INTO tblWMA (WMADistance, WMARoad, WMAWRTime, WMASex, WMAAge, WMAFactor) VALUES (20, 1, 3690, 'F', 52, 0.8627);</t>
  </si>
  <si>
    <t>INSERT INTO tblWMA (WMADistance, WMARoad, WMAWRTime, WMASex, WMAAge, WMAFactor) VALUES (20, 1, 3690, 'F', 53, 0.8523);</t>
  </si>
  <si>
    <t>INSERT INTO tblWMA (WMADistance, WMARoad, WMAWRTime, WMASex, WMAAge, WMAFactor) VALUES (20, 1, 3690, 'F', 54, 0.8419);</t>
  </si>
  <si>
    <t>INSERT INTO tblWMA (WMADistance, WMARoad, WMAWRTime, WMASex, WMAAge, WMAFactor) VALUES (20, 1, 3690, 'F', 55, 0.8316);</t>
  </si>
  <si>
    <t>INSERT INTO tblWMA (WMADistance, WMARoad, WMAWRTime, WMASex, WMAAge, WMAFactor) VALUES (20, 1, 3690, 'F', 56, 0.8212);</t>
  </si>
  <si>
    <t>INSERT INTO tblWMA (WMADistance, WMARoad, WMAWRTime, WMASex, WMAAge, WMAFactor) VALUES (20, 1, 3690, 'F', 57, 0.8108);</t>
  </si>
  <si>
    <t>INSERT INTO tblWMA (WMADistance, WMARoad, WMAWRTime, WMASex, WMAAge, WMAFactor) VALUES (20, 1, 3690, 'F', 58, 0.8005);</t>
  </si>
  <si>
    <t>INSERT INTO tblWMA (WMADistance, WMARoad, WMAWRTime, WMASex, WMAAge, WMAFactor) VALUES (20, 1, 3690, 'F', 59, 0.7901);</t>
  </si>
  <si>
    <t>INSERT INTO tblWMA (WMADistance, WMARoad, WMAWRTime, WMASex, WMAAge, WMAFactor) VALUES (20, 1, 3690, 'F', 60, 0.7797);</t>
  </si>
  <si>
    <t>INSERT INTO tblWMA (WMADistance, WMARoad, WMAWRTime, WMASex, WMAAge, WMAFactor) VALUES (20, 1, 3690, 'F', 61, 0.7694);</t>
  </si>
  <si>
    <t>INSERT INTO tblWMA (WMADistance, WMARoad, WMAWRTime, WMASex, WMAAge, WMAFactor) VALUES (20, 1, 3690, 'F', 62, 0.759);</t>
  </si>
  <si>
    <t>INSERT INTO tblWMA (WMADistance, WMARoad, WMAWRTime, WMASex, WMAAge, WMAFactor) VALUES (20, 1, 3690, 'F', 63, 0.7486);</t>
  </si>
  <si>
    <t>INSERT INTO tblWMA (WMADistance, WMARoad, WMAWRTime, WMASex, WMAAge, WMAFactor) VALUES (20, 1, 3690, 'F', 64, 0.7383);</t>
  </si>
  <si>
    <t>INSERT INTO tblWMA (WMADistance, WMARoad, WMAWRTime, WMASex, WMAAge, WMAFactor) VALUES (20, 1, 3690, 'F', 65, 0.7279);</t>
  </si>
  <si>
    <t>INSERT INTO tblWMA (WMADistance, WMARoad, WMAWRTime, WMASex, WMAAge, WMAFactor) VALUES (20, 1, 3690, 'F', 66, 0.7175);</t>
  </si>
  <si>
    <t>INSERT INTO tblWMA (WMADistance, WMARoad, WMAWRTime, WMASex, WMAAge, WMAFactor) VALUES (20, 1, 3690, 'F', 67, 0.7072);</t>
  </si>
  <si>
    <t>INSERT INTO tblWMA (WMADistance, WMARoad, WMAWRTime, WMASex, WMAAge, WMAFactor) VALUES (20, 1, 3690, 'F', 68, 0.6968);</t>
  </si>
  <si>
    <t>INSERT INTO tblWMA (WMADistance, WMARoad, WMAWRTime, WMASex, WMAAge, WMAFactor) VALUES (20, 1, 3690, 'F', 69, 0.6864);</t>
  </si>
  <si>
    <t>INSERT INTO tblWMA (WMADistance, WMARoad, WMAWRTime, WMASex, WMAAge, WMAFactor) VALUES (20, 1, 3690, 'F', 70, 0.6761);</t>
  </si>
  <si>
    <t>INSERT INTO tblWMA (WMADistance, WMARoad, WMAWRTime, WMASex, WMAAge, WMAFactor) VALUES (20, 1, 3690, 'F', 71, 0.6657);</t>
  </si>
  <si>
    <t>INSERT INTO tblWMA (WMADistance, WMARoad, WMAWRTime, WMASex, WMAAge, WMAFactor) VALUES (20, 1, 3690, 'F', 72, 0.6553);</t>
  </si>
  <si>
    <t>INSERT INTO tblWMA (WMADistance, WMARoad, WMAWRTime, WMASex, WMAAge, WMAFactor) VALUES (20, 1, 3690, 'F', 73, 0.645);</t>
  </si>
  <si>
    <t>INSERT INTO tblWMA (WMADistance, WMARoad, WMAWRTime, WMASex, WMAAge, WMAFactor) VALUES (20, 1, 3690, 'F', 74, 0.6346);</t>
  </si>
  <si>
    <t>INSERT INTO tblWMA (WMADistance, WMARoad, WMAWRTime, WMASex, WMAAge, WMAFactor) VALUES (20, 1, 3690, 'F', 75, 0.6242);</t>
  </si>
  <si>
    <t>INSERT INTO tblWMA (WMADistance, WMARoad, WMAWRTime, WMASex, WMAAge, WMAFactor) VALUES (20, 1, 3690, 'F', 76, 0.6139);</t>
  </si>
  <si>
    <t>INSERT INTO tblWMA (WMADistance, WMARoad, WMAWRTime, WMASex, WMAAge, WMAFactor) VALUES (20, 1, 3690, 'F', 77, 0.603);</t>
  </si>
  <si>
    <t>INSERT INTO tblWMA (WMADistance, WMARoad, WMAWRTime, WMASex, WMAAge, WMAFactor) VALUES (20, 1, 3690, 'F', 78, 0.5913);</t>
  </si>
  <si>
    <t>INSERT INTO tblWMA (WMADistance, WMARoad, WMAWRTime, WMASex, WMAAge, WMAFactor) VALUES (20, 1, 3690, 'F', 79, 0.5788);</t>
  </si>
  <si>
    <t>INSERT INTO tblWMA (WMADistance, WMARoad, WMAWRTime, WMASex, WMAAge, WMAFactor) VALUES (20, 1, 3690, 'F', 80, 0.5655);</t>
  </si>
  <si>
    <t>INSERT INTO tblWMA (WMADistance, WMARoad, WMAWRTime, WMASex, WMAAge, WMAFactor) VALUES (20, 1, 3690, 'F', 81, 0.5514);</t>
  </si>
  <si>
    <t>INSERT INTO tblWMA (WMADistance, WMARoad, WMAWRTime, WMASex, WMAAge, WMAFactor) VALUES (20, 1, 3690, 'F', 82, 0.5365);</t>
  </si>
  <si>
    <t>INSERT INTO tblWMA (WMADistance, WMARoad, WMAWRTime, WMASex, WMAAge, WMAFactor) VALUES (20, 1, 3690, 'F', 83, 0.5209);</t>
  </si>
  <si>
    <t>INSERT INTO tblWMA (WMADistance, WMARoad, WMAWRTime, WMASex, WMAAge, WMAFactor) VALUES (20, 1, 3690, 'F', 84, 0.5044);</t>
  </si>
  <si>
    <t>INSERT INTO tblWMA (WMADistance, WMARoad, WMAWRTime, WMASex, WMAAge, WMAFactor) VALUES (20, 1, 3690, 'F', 85, 0.4872);</t>
  </si>
  <si>
    <t>INSERT INTO tblWMA (WMADistance, WMARoad, WMAWRTime, WMASex, WMAAge, WMAFactor) VALUES (20, 1, 3690, 'F', 86, 0.4691);</t>
  </si>
  <si>
    <t>INSERT INTO tblWMA (WMADistance, WMARoad, WMAWRTime, WMASex, WMAAge, WMAFactor) VALUES (20, 1, 3690, 'F', 87, 0.4503);</t>
  </si>
  <si>
    <t>INSERT INTO tblWMA (WMADistance, WMARoad, WMAWRTime, WMASex, WMAAge, WMAFactor) VALUES (20, 1, 3690, 'F', 88, 0.4306);</t>
  </si>
  <si>
    <t>INSERT INTO tblWMA (WMADistance, WMARoad, WMAWRTime, WMASex, WMAAge, WMAFactor) VALUES (20, 1, 3690, 'F', 89, 0.4102);</t>
  </si>
  <si>
    <t>INSERT INTO tblWMA (WMADistance, WMARoad, WMAWRTime, WMASex, WMAAge, WMAFactor) VALUES (20, 1, 3690, 'F', 90, 0.3889);</t>
  </si>
  <si>
    <t>INSERT INTO tblWMA (WMADistance, WMARoad, WMAWRTime, WMASex, WMAAge, WMAFactor) VALUES (20, 1, 3690, 'F', 91, 0.3669);</t>
  </si>
  <si>
    <t>INSERT INTO tblWMA (WMADistance, WMARoad, WMAWRTime, WMASex, WMAAge, WMAFactor) VALUES (20, 1, 3690, 'F', 92, 0.3441);</t>
  </si>
  <si>
    <t>INSERT INTO tblWMA (WMADistance, WMARoad, WMAWRTime, WMASex, WMAAge, WMAFactor) VALUES (20, 1, 3690, 'F', 93, 0.3205);</t>
  </si>
  <si>
    <t>INSERT INTO tblWMA (WMADistance, WMARoad, WMAWRTime, WMASex, WMAAge, WMAFactor) VALUES (20, 1, 3690, 'F', 94, 0.2961);</t>
  </si>
  <si>
    <t>INSERT INTO tblWMA (WMADistance, WMARoad, WMAWRTime, WMASex, WMAAge, WMAFactor) VALUES (20, 1, 3690, 'F', 95, 0.2708);</t>
  </si>
  <si>
    <t>INSERT INTO tblWMA (WMADistance, WMARoad, WMAWRTime, WMASex, WMAAge, WMAFactor) VALUES (20, 1, 3690, 'F', 96, 0.2448);</t>
  </si>
  <si>
    <t>INSERT INTO tblWMA (WMADistance, WMARoad, WMAWRTime, WMASex, WMAAge, WMAFactor) VALUES (20, 1, 3690, 'F', 97, 0.218);</t>
  </si>
  <si>
    <t>INSERT INTO tblWMA (WMADistance, WMARoad, WMAWRTime, WMASex, WMAAge, WMAFactor) VALUES (20, 1, 3690, 'F', 98, 0.1904);</t>
  </si>
  <si>
    <t>INSERT INTO tblWMA (WMADistance, WMARoad, WMAWRTime, WMASex, WMAAge, WMAFactor) VALUES (20, 1, 3690, 'F', 99, 0.162);</t>
  </si>
  <si>
    <t>INSERT INTO tblWMA (WMADistance, WMARoad, WMAWRTime, WMASex, WMAAge, WMAFactor) VALUES (20, 1, 3690, 'F', 100, 0.1329);</t>
  </si>
  <si>
    <t>INSERT INTO tblWMA (WMADistance, WMARoad, WMAWRTime, WMASex, WMAAge, WMAFactor) VALUES (21.098, 1, 3871, 'F', 5, 0.6335);</t>
  </si>
  <si>
    <t>INSERT INTO tblWMA (WMADistance, WMARoad, WMAWRTime, WMASex, WMAAge, WMAFactor) VALUES (21.098, 1, 3871, 'F', 6, 0.6698);</t>
  </si>
  <si>
    <t>INSERT INTO tblWMA (WMADistance, WMARoad, WMAWRTime, WMASex, WMAAge, WMAFactor) VALUES (21.098, 1, 3871, 'F', 7, 0.7043);</t>
  </si>
  <si>
    <t>INSERT INTO tblWMA (WMADistance, WMARoad, WMAWRTime, WMASex, WMAAge, WMAFactor) VALUES (21.098, 1, 3871, 'F', 8, 0.7369);</t>
  </si>
  <si>
    <t>INSERT INTO tblWMA (WMADistance, WMARoad, WMAWRTime, WMASex, WMAAge, WMAFactor) VALUES (21.098, 1, 3871, 'F', 9, 0.7677);</t>
  </si>
  <si>
    <t>INSERT INTO tblWMA (WMADistance, WMARoad, WMAWRTime, WMASex, WMAAge, WMAFactor) VALUES (21.098, 1, 3871, 'F', 10, 0.7968);</t>
  </si>
  <si>
    <t>INSERT INTO tblWMA (WMADistance, WMARoad, WMAWRTime, WMASex, WMAAge, WMAFactor) VALUES (21.098, 1, 3871, 'F', 11, 0.8239);</t>
  </si>
  <si>
    <t>INSERT INTO tblWMA (WMADistance, WMARoad, WMAWRTime, WMASex, WMAAge, WMAFactor) VALUES (21.098, 1, 3871, 'F', 12, 0.8493);</t>
  </si>
  <si>
    <t>INSERT INTO tblWMA (WMADistance, WMARoad, WMAWRTime, WMASex, WMAAge, WMAFactor) VALUES (21.098, 1, 3871, 'F', 13, 0.8729);</t>
  </si>
  <si>
    <t>INSERT INTO tblWMA (WMADistance, WMARoad, WMAWRTime, WMASex, WMAAge, WMAFactor) VALUES (21.098, 1, 3871, 'F', 14, 0.8946);</t>
  </si>
  <si>
    <t>INSERT INTO tblWMA (WMADistance, WMARoad, WMAWRTime, WMASex, WMAAge, WMAFactor) VALUES (21.098, 1, 3871, 'F', 15, 0.9145);</t>
  </si>
  <si>
    <t>INSERT INTO tblWMA (WMADistance, WMARoad, WMAWRTime, WMASex, WMAAge, WMAFactor) VALUES (21.098, 1, 3871, 'F', 16, 0.9335);</t>
  </si>
  <si>
    <t>INSERT INTO tblWMA (WMADistance, WMARoad, WMAWRTime, WMASex, WMAAge, WMAFactor) VALUES (21.098, 1, 3871, 'F', 17, 0.9525);</t>
  </si>
  <si>
    <t>INSERT INTO tblWMA (WMADistance, WMARoad, WMAWRTime, WMASex, WMAAge, WMAFactor) VALUES (21.098, 1, 3871, 'F', 18, 0.9696);</t>
  </si>
  <si>
    <t>INSERT INTO tblWMA (WMADistance, WMARoad, WMAWRTime, WMASex, WMAAge, WMAFactor) VALUES (21.098, 1, 3871, 'F', 19, 0.9829);</t>
  </si>
  <si>
    <t>INSERT INTO tblWMA (WMADistance, WMARoad, WMAWRTime, WMASex, WMAAge, WMAFactor) VALUES (21.098, 1, 3871, 'F', 20, 0.9924);</t>
  </si>
  <si>
    <t>INSERT INTO tblWMA (WMADistance, WMARoad, WMAWRTime, WMASex, WMAAge, WMAFactor) VALUES (21.098, 1, 3871, 'F', 21, 0.9981);</t>
  </si>
  <si>
    <t>INSERT INTO tblWMA (WMADistance, WMARoad, WMAWRTime, WMASex, WMAAge, WMAFactor) VALUES (21.098, 1, 3871, 'F', 22, 1);</t>
  </si>
  <si>
    <t>INSERT INTO tblWMA (WMADistance, WMARoad, WMAWRTime, WMASex, WMAAge, WMAFactor) VALUES (21.098, 1, 3871, 'F', 23, 1);</t>
  </si>
  <si>
    <t>INSERT INTO tblWMA (WMADistance, WMARoad, WMAWRTime, WMASex, WMAAge, WMAFactor) VALUES (21.098, 1, 3871, 'F', 24, 1);</t>
  </si>
  <si>
    <t>INSERT INTO tblWMA (WMADistance, WMARoad, WMAWRTime, WMASex, WMAAge, WMAFactor) VALUES (21.098, 1, 3871, 'F', 25, 1);</t>
  </si>
  <si>
    <t>INSERT INTO tblWMA (WMADistance, WMARoad, WMAWRTime, WMASex, WMAAge, WMAFactor) VALUES (21.098, 1, 3871, 'F', 26, 1);</t>
  </si>
  <si>
    <t>INSERT INTO tblWMA (WMADistance, WMARoad, WMAWRTime, WMASex, WMAAge, WMAFactor) VALUES (21.098, 1, 3871, 'F', 27, 1);</t>
  </si>
  <si>
    <t>INSERT INTO tblWMA (WMADistance, WMARoad, WMAWRTime, WMASex, WMAAge, WMAFactor) VALUES (21.098, 1, 3871, 'F', 28, 1);</t>
  </si>
  <si>
    <t>INSERT INTO tblWMA (WMADistance, WMARoad, WMAWRTime, WMASex, WMAAge, WMAFactor) VALUES (21.098, 1, 3871, 'F', 29, 1);</t>
  </si>
  <si>
    <t>INSERT INTO tblWMA (WMADistance, WMARoad, WMAWRTime, WMASex, WMAAge, WMAFactor) VALUES (21.098, 1, 3871, 'F', 30, 0.9997);</t>
  </si>
  <si>
    <t>INSERT INTO tblWMA (WMADistance, WMARoad, WMAWRTime, WMASex, WMAAge, WMAFactor) VALUES (21.098, 1, 3871, 'F', 31, 0.9989);</t>
  </si>
  <si>
    <t>INSERT INTO tblWMA (WMADistance, WMARoad, WMAWRTime, WMASex, WMAAge, WMAFactor) VALUES (21.098, 1, 3871, 'F', 32, 0.9976);</t>
  </si>
  <si>
    <t>INSERT INTO tblWMA (WMADistance, WMARoad, WMAWRTime, WMASex, WMAAge, WMAFactor) VALUES (21.098, 1, 3871, 'F', 33, 0.9958);</t>
  </si>
  <si>
    <t>INSERT INTO tblWMA (WMADistance, WMARoad, WMAWRTime, WMASex, WMAAge, WMAFactor) VALUES (21.098, 1, 3871, 'F', 34, 0.9934);</t>
  </si>
  <si>
    <t>INSERT INTO tblWMA (WMADistance, WMARoad, WMAWRTime, WMASex, WMAAge, WMAFactor) VALUES (21.098, 1, 3871, 'F', 35, 0.9904);</t>
  </si>
  <si>
    <t>INSERT INTO tblWMA (WMADistance, WMARoad, WMAWRTime, WMASex, WMAAge, WMAFactor) VALUES (21.098, 1, 3871, 'F', 36, 0.987);</t>
  </si>
  <si>
    <t>INSERT INTO tblWMA (WMADistance, WMARoad, WMAWRTime, WMASex, WMAAge, WMAFactor) VALUES (21.098, 1, 3871, 'F', 37, 0.983);</t>
  </si>
  <si>
    <t>INSERT INTO tblWMA (WMADistance, WMARoad, WMAWRTime, WMASex, WMAAge, WMAFactor) VALUES (21.098, 1, 3871, 'F', 38, 0.9785);</t>
  </si>
  <si>
    <t>INSERT INTO tblWMA (WMADistance, WMARoad, WMAWRTime, WMASex, WMAAge, WMAFactor) VALUES (21.098, 1, 3871, 'F', 39, 0.9735);</t>
  </si>
  <si>
    <t>INSERT INTO tblWMA (WMADistance, WMARoad, WMAWRTime, WMASex, WMAAge, WMAFactor) VALUES (21.098, 1, 3871, 'F', 40, 0.9679);</t>
  </si>
  <si>
    <t>INSERT INTO tblWMA (WMADistance, WMARoad, WMAWRTime, WMASex, WMAAge, WMAFactor) VALUES (21.098, 1, 3871, 'F', 41, 0.9618);</t>
  </si>
  <si>
    <t>INSERT INTO tblWMA (WMADistance, WMARoad, WMAWRTime, WMASex, WMAAge, WMAFactor) VALUES (21.098, 1, 3871, 'F', 42, 0.9552);</t>
  </si>
  <si>
    <t>INSERT INTO tblWMA (WMADistance, WMARoad, WMAWRTime, WMASex, WMAAge, WMAFactor) VALUES (21.098, 1, 3871, 'F', 43, 0.948);</t>
  </si>
  <si>
    <t>INSERT INTO tblWMA (WMADistance, WMARoad, WMAWRTime, WMASex, WMAAge, WMAFactor) VALUES (21.098, 1, 3871, 'F', 44, 0.9403);</t>
  </si>
  <si>
    <t>INSERT INTO tblWMA (WMADistance, WMARoad, WMAWRTime, WMASex, WMAAge, WMAFactor) VALUES (21.098, 1, 3871, 'F', 45, 0.9321);</t>
  </si>
  <si>
    <t>INSERT INTO tblWMA (WMADistance, WMARoad, WMAWRTime, WMASex, WMAAge, WMAFactor) VALUES (21.098, 1, 3871, 'F', 46, 0.9233);</t>
  </si>
  <si>
    <t>INSERT INTO tblWMA (WMADistance, WMARoad, WMAWRTime, WMASex, WMAAge, WMAFactor) VALUES (21.098, 1, 3871, 'F', 47, 0.914);</t>
  </si>
  <si>
    <t>INSERT INTO tblWMA (WMADistance, WMARoad, WMAWRTime, WMASex, WMAAge, WMAFactor) VALUES (21.098, 1, 3871, 'F', 48, 0.9042);</t>
  </si>
  <si>
    <t>INSERT INTO tblWMA (WMADistance, WMARoad, WMAWRTime, WMASex, WMAAge, WMAFactor) VALUES (21.098, 1, 3871, 'F', 49, 0.8939);</t>
  </si>
  <si>
    <t>INSERT INTO tblWMA (WMADistance, WMARoad, WMAWRTime, WMASex, WMAAge, WMAFactor) VALUES (21.098, 1, 3871, 'F', 50, 0.8835);</t>
  </si>
  <si>
    <t>INSERT INTO tblWMA (WMADistance, WMARoad, WMAWRTime, WMASex, WMAAge, WMAFactor) VALUES (21.098, 1, 3871, 'F', 51, 0.8731);</t>
  </si>
  <si>
    <t>INSERT INTO tblWMA (WMADistance, WMARoad, WMAWRTime, WMASex, WMAAge, WMAFactor) VALUES (21.098, 1, 3871, 'F', 52, 0.8627);</t>
  </si>
  <si>
    <t>INSERT INTO tblWMA (WMADistance, WMARoad, WMAWRTime, WMASex, WMAAge, WMAFactor) VALUES (21.098, 1, 3871, 'F', 53, 0.8523);</t>
  </si>
  <si>
    <t>INSERT INTO tblWMA (WMADistance, WMARoad, WMAWRTime, WMASex, WMAAge, WMAFactor) VALUES (21.098, 1, 3871, 'F', 54, 0.8419);</t>
  </si>
  <si>
    <t>INSERT INTO tblWMA (WMADistance, WMARoad, WMAWRTime, WMASex, WMAAge, WMAFactor) VALUES (21.098, 1, 3871, 'F', 55, 0.8315);</t>
  </si>
  <si>
    <t>INSERT INTO tblWMA (WMADistance, WMARoad, WMAWRTime, WMASex, WMAAge, WMAFactor) VALUES (21.098, 1, 3871, 'F', 56, 0.8211);</t>
  </si>
  <si>
    <t>INSERT INTO tblWMA (WMADistance, WMARoad, WMAWRTime, WMASex, WMAAge, WMAFactor) VALUES (21.098, 1, 3871, 'F', 57, 0.8107);</t>
  </si>
  <si>
    <t>INSERT INTO tblWMA (WMADistance, WMARoad, WMAWRTime, WMASex, WMAAge, WMAFactor) VALUES (21.098, 1, 3871, 'F', 58, 0.8003);</t>
  </si>
  <si>
    <t>INSERT INTO tblWMA (WMADistance, WMARoad, WMAWRTime, WMASex, WMAAge, WMAFactor) VALUES (21.098, 1, 3871, 'F', 59, 0.7899);</t>
  </si>
  <si>
    <t>INSERT INTO tblWMA (WMADistance, WMARoad, WMAWRTime, WMASex, WMAAge, WMAFactor) VALUES (21.098, 1, 3871, 'F', 60, 0.7795);</t>
  </si>
  <si>
    <t>INSERT INTO tblWMA (WMADistance, WMARoad, WMAWRTime, WMASex, WMAAge, WMAFactor) VALUES (21.098, 1, 3871, 'F', 61, 0.7691);</t>
  </si>
  <si>
    <t>INSERT INTO tblWMA (WMADistance, WMARoad, WMAWRTime, WMASex, WMAAge, WMAFactor) VALUES (21.098, 1, 3871, 'F', 62, 0.7587);</t>
  </si>
  <si>
    <t>INSERT INTO tblWMA (WMADistance, WMARoad, WMAWRTime, WMASex, WMAAge, WMAFactor) VALUES (21.098, 1, 3871, 'F', 63, 0.7483);</t>
  </si>
  <si>
    <t>INSERT INTO tblWMA (WMADistance, WMARoad, WMAWRTime, WMASex, WMAAge, WMAFactor) VALUES (21.098, 1, 3871, 'F', 64, 0.7379);</t>
  </si>
  <si>
    <t>INSERT INTO tblWMA (WMADistance, WMARoad, WMAWRTime, WMASex, WMAAge, WMAFactor) VALUES (21.098, 1, 3871, 'F', 65, 0.7275);</t>
  </si>
  <si>
    <t>INSERT INTO tblWMA (WMADistance, WMARoad, WMAWRTime, WMASex, WMAAge, WMAFactor) VALUES (21.098, 1, 3871, 'F', 66, 0.7171);</t>
  </si>
  <si>
    <t>INSERT INTO tblWMA (WMADistance, WMARoad, WMAWRTime, WMASex, WMAAge, WMAFactor) VALUES (21.098, 1, 3871, 'F', 67, 0.7067);</t>
  </si>
  <si>
    <t>INSERT INTO tblWMA (WMADistance, WMARoad, WMAWRTime, WMASex, WMAAge, WMAFactor) VALUES (21.098, 1, 3871, 'F', 68, 0.6963);</t>
  </si>
  <si>
    <t>INSERT INTO tblWMA (WMADistance, WMARoad, WMAWRTime, WMASex, WMAAge, WMAFactor) VALUES (21.098, 1, 3871, 'F', 69, 0.6859);</t>
  </si>
  <si>
    <t>INSERT INTO tblWMA (WMADistance, WMARoad, WMAWRTime, WMASex, WMAAge, WMAFactor) VALUES (21.098, 1, 3871, 'F', 70, 0.6755);</t>
  </si>
  <si>
    <t>INSERT INTO tblWMA (WMADistance, WMARoad, WMAWRTime, WMASex, WMAAge, WMAFactor) VALUES (21.098, 1, 3871, 'F', 71, 0.6651);</t>
  </si>
  <si>
    <t>INSERT INTO tblWMA (WMADistance, WMARoad, WMAWRTime, WMASex, WMAAge, WMAFactor) VALUES (21.098, 1, 3871, 'F', 72, 0.6547);</t>
  </si>
  <si>
    <t>INSERT INTO tblWMA (WMADistance, WMARoad, WMAWRTime, WMASex, WMAAge, WMAFactor) VALUES (21.098, 1, 3871, 'F', 73, 0.6443);</t>
  </si>
  <si>
    <t>INSERT INTO tblWMA (WMADistance, WMARoad, WMAWRTime, WMASex, WMAAge, WMAFactor) VALUES (21.098, 1, 3871, 'F', 74, 0.6339);</t>
  </si>
  <si>
    <t>INSERT INTO tblWMA (WMADistance, WMARoad, WMAWRTime, WMASex, WMAAge, WMAFactor) VALUES (21.098, 1, 3871, 'F', 75, 0.6235);</t>
  </si>
  <si>
    <t>INSERT INTO tblWMA (WMADistance, WMARoad, WMAWRTime, WMASex, WMAAge, WMAFactor) VALUES (21.098, 1, 3871, 'F', 76, 0.6131);</t>
  </si>
  <si>
    <t>INSERT INTO tblWMA (WMADistance, WMARoad, WMAWRTime, WMASex, WMAAge, WMAFactor) VALUES (21.098, 1, 3871, 'F', 77, 0.6022);</t>
  </si>
  <si>
    <t>INSERT INTO tblWMA (WMADistance, WMARoad, WMAWRTime, WMASex, WMAAge, WMAFactor) VALUES (21.098, 1, 3871, 'F', 78, 0.5906);</t>
  </si>
  <si>
    <t>INSERT INTO tblWMA (WMADistance, WMARoad, WMAWRTime, WMASex, WMAAge, WMAFactor) VALUES (21.098, 1, 3871, 'F', 79, 0.5781);</t>
  </si>
  <si>
    <t>INSERT INTO tblWMA (WMADistance, WMARoad, WMAWRTime, WMASex, WMAAge, WMAFactor) VALUES (21.098, 1, 3871, 'F', 80, 0.5648);</t>
  </si>
  <si>
    <t>INSERT INTO tblWMA (WMADistance, WMARoad, WMAWRTime, WMASex, WMAAge, WMAFactor) VALUES (21.098, 1, 3871, 'F', 81, 0.5507);</t>
  </si>
  <si>
    <t>INSERT INTO tblWMA (WMADistance, WMARoad, WMAWRTime, WMASex, WMAAge, WMAFactor) VALUES (21.098, 1, 3871, 'F', 82, 0.5359);</t>
  </si>
  <si>
    <t>INSERT INTO tblWMA (WMADistance, WMARoad, WMAWRTime, WMASex, WMAAge, WMAFactor) VALUES (21.098, 1, 3871, 'F', 83, 0.5202);</t>
  </si>
  <si>
    <t>INSERT INTO tblWMA (WMADistance, WMARoad, WMAWRTime, WMASex, WMAAge, WMAFactor) VALUES (21.098, 1, 3871, 'F', 84, 0.5037);</t>
  </si>
  <si>
    <t>INSERT INTO tblWMA (WMADistance, WMARoad, WMAWRTime, WMASex, WMAAge, WMAFactor) VALUES (21.098, 1, 3871, 'F', 85, 0.4865);</t>
  </si>
  <si>
    <t>INSERT INTO tblWMA (WMADistance, WMARoad, WMAWRTime, WMASex, WMAAge, WMAFactor) VALUES (21.098, 1, 3871, 'F', 86, 0.4684);</t>
  </si>
  <si>
    <t>INSERT INTO tblWMA (WMADistance, WMARoad, WMAWRTime, WMASex, WMAAge, WMAFactor) VALUES (21.098, 1, 3871, 'F', 87, 0.4496);</t>
  </si>
  <si>
    <t>INSERT INTO tblWMA (WMADistance, WMARoad, WMAWRTime, WMASex, WMAAge, WMAFactor) VALUES (21.098, 1, 3871, 'F', 88, 0.4299);</t>
  </si>
  <si>
    <t>INSERT INTO tblWMA (WMADistance, WMARoad, WMAWRTime, WMASex, WMAAge, WMAFactor) VALUES (21.098, 1, 3871, 'F', 89, 0.4094);</t>
  </si>
  <si>
    <t>INSERT INTO tblWMA (WMADistance, WMARoad, WMAWRTime, WMASex, WMAAge, WMAFactor) VALUES (21.098, 1, 3871, 'F', 90, 0.3882);</t>
  </si>
  <si>
    <t>INSERT INTO tblWMA (WMADistance, WMARoad, WMAWRTime, WMASex, WMAAge, WMAFactor) VALUES (21.098, 1, 3871, 'F', 91, 0.3661);</t>
  </si>
  <si>
    <t>INSERT INTO tblWMA (WMADistance, WMARoad, WMAWRTime, WMASex, WMAAge, WMAFactor) VALUES (21.098, 1, 3871, 'F', 92, 0.3433);</t>
  </si>
  <si>
    <t>INSERT INTO tblWMA (WMADistance, WMARoad, WMAWRTime, WMASex, WMAAge, WMAFactor) VALUES (21.098, 1, 3871, 'F', 93, 0.3196);</t>
  </si>
  <si>
    <t>INSERT INTO tblWMA (WMADistance, WMARoad, WMAWRTime, WMASex, WMAAge, WMAFactor) VALUES (21.098, 1, 3871, 'F', 94, 0.2952);</t>
  </si>
  <si>
    <t>INSERT INTO tblWMA (WMADistance, WMARoad, WMAWRTime, WMASex, WMAAge, WMAFactor) VALUES (21.098, 1, 3871, 'F', 95, 0.27);</t>
  </si>
  <si>
    <t>INSERT INTO tblWMA (WMADistance, WMARoad, WMAWRTime, WMASex, WMAAge, WMAFactor) VALUES (21.098, 1, 3871, 'F', 96, 0.2439);</t>
  </si>
  <si>
    <t>INSERT INTO tblWMA (WMADistance, WMARoad, WMAWRTime, WMASex, WMAAge, WMAFactor) VALUES (21.098, 1, 3871, 'F', 97, 0.2171);</t>
  </si>
  <si>
    <t>INSERT INTO tblWMA (WMADistance, WMARoad, WMAWRTime, WMASex, WMAAge, WMAFactor) VALUES (21.098, 1, 3871, 'F', 98, 0.1894);</t>
  </si>
  <si>
    <t>INSERT INTO tblWMA (WMADistance, WMARoad, WMAWRTime, WMASex, WMAAge, WMAFactor) VALUES (21.098, 1, 3871, 'F', 99, 0.161);</t>
  </si>
  <si>
    <t>INSERT INTO tblWMA (WMADistance, WMARoad, WMAWRTime, WMASex, WMAAge, WMAFactor) VALUES (21.098, 1, 3871, 'F', 100, 0.1318);</t>
  </si>
  <si>
    <t>INSERT INTO tblWMA (WMADistance, WMARoad, WMAWRTime, WMASex, WMAAge, WMAFactor) VALUES (25, 1, 4640, 'F', 5, 0.6335);</t>
  </si>
  <si>
    <t>INSERT INTO tblWMA (WMADistance, WMARoad, WMAWRTime, WMASex, WMAAge, WMAFactor) VALUES (25, 1, 4640, 'F', 6, 0.6698);</t>
  </si>
  <si>
    <t>INSERT INTO tblWMA (WMADistance, WMARoad, WMAWRTime, WMASex, WMAAge, WMAFactor) VALUES (25, 1, 4640, 'F', 7, 0.7043);</t>
  </si>
  <si>
    <t>INSERT INTO tblWMA (WMADistance, WMARoad, WMAWRTime, WMASex, WMAAge, WMAFactor) VALUES (25, 1, 4640, 'F', 8, 0.7369);</t>
  </si>
  <si>
    <t>INSERT INTO tblWMA (WMADistance, WMARoad, WMAWRTime, WMASex, WMAAge, WMAFactor) VALUES (25, 1, 4640, 'F', 9, 0.7677);</t>
  </si>
  <si>
    <t>INSERT INTO tblWMA (WMADistance, WMARoad, WMAWRTime, WMASex, WMAAge, WMAFactor) VALUES (25, 1, 4640, 'F', 10, 0.7968);</t>
  </si>
  <si>
    <t>INSERT INTO tblWMA (WMADistance, WMARoad, WMAWRTime, WMASex, WMAAge, WMAFactor) VALUES (25, 1, 4640, 'F', 11, 0.8239);</t>
  </si>
  <si>
    <t>INSERT INTO tblWMA (WMADistance, WMARoad, WMAWRTime, WMASex, WMAAge, WMAFactor) VALUES (25, 1, 4640, 'F', 12, 0.8493);</t>
  </si>
  <si>
    <t>INSERT INTO tblWMA (WMADistance, WMARoad, WMAWRTime, WMASex, WMAAge, WMAFactor) VALUES (25, 1, 4640, 'F', 13, 0.8729);</t>
  </si>
  <si>
    <t>INSERT INTO tblWMA (WMADistance, WMARoad, WMAWRTime, WMASex, WMAAge, WMAFactor) VALUES (25, 1, 4640, 'F', 14, 0.8946);</t>
  </si>
  <si>
    <t>INSERT INTO tblWMA (WMADistance, WMARoad, WMAWRTime, WMASex, WMAAge, WMAFactor) VALUES (25, 1, 4640, 'F', 15, 0.9145);</t>
  </si>
  <si>
    <t>INSERT INTO tblWMA (WMADistance, WMARoad, WMAWRTime, WMASex, WMAAge, WMAFactor) VALUES (25, 1, 4640, 'F', 16, 0.9335);</t>
  </si>
  <si>
    <t>INSERT INTO tblWMA (WMADistance, WMARoad, WMAWRTime, WMASex, WMAAge, WMAFactor) VALUES (25, 1, 4640, 'F', 17, 0.9525);</t>
  </si>
  <si>
    <t>INSERT INTO tblWMA (WMADistance, WMARoad, WMAWRTime, WMASex, WMAAge, WMAFactor) VALUES (25, 1, 4640, 'F', 18, 0.9696);</t>
  </si>
  <si>
    <t>INSERT INTO tblWMA (WMADistance, WMARoad, WMAWRTime, WMASex, WMAAge, WMAFactor) VALUES (25, 1, 4640, 'F', 19, 0.9829);</t>
  </si>
  <si>
    <t>INSERT INTO tblWMA (WMADistance, WMARoad, WMAWRTime, WMASex, WMAAge, WMAFactor) VALUES (25, 1, 4640, 'F', 20, 0.9924);</t>
  </si>
  <si>
    <t>INSERT INTO tblWMA (WMADistance, WMARoad, WMAWRTime, WMASex, WMAAge, WMAFactor) VALUES (25, 1, 4640, 'F', 21, 0.9981);</t>
  </si>
  <si>
    <t>INSERT INTO tblWMA (WMADistance, WMARoad, WMAWRTime, WMASex, WMAAge, WMAFactor) VALUES (25, 1, 4640, 'F', 22, 1);</t>
  </si>
  <si>
    <t>INSERT INTO tblWMA (WMADistance, WMARoad, WMAWRTime, WMASex, WMAAge, WMAFactor) VALUES (25, 1, 4640, 'F', 23, 1);</t>
  </si>
  <si>
    <t>INSERT INTO tblWMA (WMADistance, WMARoad, WMAWRTime, WMASex, WMAAge, WMAFactor) VALUES (25, 1, 4640, 'F', 24, 1);</t>
  </si>
  <si>
    <t>INSERT INTO tblWMA (WMADistance, WMARoad, WMAWRTime, WMASex, WMAAge, WMAFactor) VALUES (25, 1, 4640, 'F', 25, 1);</t>
  </si>
  <si>
    <t>INSERT INTO tblWMA (WMADistance, WMARoad, WMAWRTime, WMASex, WMAAge, WMAFactor) VALUES (25, 1, 4640, 'F', 26, 1);</t>
  </si>
  <si>
    <t>INSERT INTO tblWMA (WMADistance, WMARoad, WMAWRTime, WMASex, WMAAge, WMAFactor) VALUES (25, 1, 4640, 'F', 27, 1);</t>
  </si>
  <si>
    <t>INSERT INTO tblWMA (WMADistance, WMARoad, WMAWRTime, WMASex, WMAAge, WMAFactor) VALUES (25, 1, 4640, 'F', 28, 1);</t>
  </si>
  <si>
    <t>INSERT INTO tblWMA (WMADistance, WMARoad, WMAWRTime, WMASex, WMAAge, WMAFactor) VALUES (25, 1, 4640, 'F', 29, 1);</t>
  </si>
  <si>
    <t>INSERT INTO tblWMA (WMADistance, WMARoad, WMAWRTime, WMASex, WMAAge, WMAFactor) VALUES (25, 1, 4640, 'F', 30, 1);</t>
  </si>
  <si>
    <t>INSERT INTO tblWMA (WMADistance, WMARoad, WMAWRTime, WMASex, WMAAge, WMAFactor) VALUES (25, 1, 4640, 'F', 31, 0.9995);</t>
  </si>
  <si>
    <t>INSERT INTO tblWMA (WMADistance, WMARoad, WMAWRTime, WMASex, WMAAge, WMAFactor) VALUES (25, 1, 4640, 'F', 32, 0.9984);</t>
  </si>
  <si>
    <t>INSERT INTO tblWMA (WMADistance, WMARoad, WMAWRTime, WMASex, WMAAge, WMAFactor) VALUES (25, 1, 4640, 'F', 33, 0.9968);</t>
  </si>
  <si>
    <t>INSERT INTO tblWMA (WMADistance, WMARoad, WMAWRTime, WMASex, WMAAge, WMAFactor) VALUES (25, 1, 4640, 'F', 34, 0.9947);</t>
  </si>
  <si>
    <t>INSERT INTO tblWMA (WMADistance, WMARoad, WMAWRTime, WMASex, WMAAge, WMAFactor) VALUES (25, 1, 4640, 'F', 35, 0.9919);</t>
  </si>
  <si>
    <t>INSERT INTO tblWMA (WMADistance, WMARoad, WMAWRTime, WMASex, WMAAge, WMAFactor) VALUES (25, 1, 4640, 'F', 36, 0.9886);</t>
  </si>
  <si>
    <t>INSERT INTO tblWMA (WMADistance, WMARoad, WMAWRTime, WMASex, WMAAge, WMAFactor) VALUES (25, 1, 4640, 'F', 37, 0.9848);</t>
  </si>
  <si>
    <t>INSERT INTO tblWMA (WMADistance, WMARoad, WMAWRTime, WMASex, WMAAge, WMAFactor) VALUES (25, 1, 4640, 'F', 38, 0.9804);</t>
  </si>
  <si>
    <t>INSERT INTO tblWMA (WMADistance, WMARoad, WMAWRTime, WMASex, WMAAge, WMAFactor) VALUES (25, 1, 4640, 'F', 39, 0.9754);</t>
  </si>
  <si>
    <t>INSERT INTO tblWMA (WMADistance, WMARoad, WMAWRTime, WMASex, WMAAge, WMAFactor) VALUES (25, 1, 4640, 'F', 40, 0.9699);</t>
  </si>
  <si>
    <t>INSERT INTO tblWMA (WMADistance, WMARoad, WMAWRTime, WMASex, WMAAge, WMAFactor) VALUES (25, 1, 4640, 'F', 41, 0.9638);</t>
  </si>
  <si>
    <t>INSERT INTO tblWMA (WMADistance, WMARoad, WMAWRTime, WMASex, WMAAge, WMAFactor) VALUES (25, 1, 4640, 'F', 42, 0.9571);</t>
  </si>
  <si>
    <t>INSERT INTO tblWMA (WMADistance, WMARoad, WMAWRTime, WMASex, WMAAge, WMAFactor) VALUES (25, 1, 4640, 'F', 43, 0.9499);</t>
  </si>
  <si>
    <t>INSERT INTO tblWMA (WMADistance, WMARoad, WMAWRTime, WMASex, WMAAge, WMAFactor) VALUES (25, 1, 4640, 'F', 44, 0.9421);</t>
  </si>
  <si>
    <t>INSERT INTO tblWMA (WMADistance, WMARoad, WMAWRTime, WMASex, WMAAge, WMAFactor) VALUES (25, 1, 4640, 'F', 45, 0.9338);</t>
  </si>
  <si>
    <t>INSERT INTO tblWMA (WMADistance, WMARoad, WMAWRTime, WMASex, WMAAge, WMAFactor) VALUES (25, 1, 4640, 'F', 46, 0.9249);</t>
  </si>
  <si>
    <t>INSERT INTO tblWMA (WMADistance, WMARoad, WMAWRTime, WMASex, WMAAge, WMAFactor) VALUES (25, 1, 4640, 'F', 47, 0.9154);</t>
  </si>
  <si>
    <t>INSERT INTO tblWMA (WMADistance, WMARoad, WMAWRTime, WMASex, WMAAge, WMAFactor) VALUES (25, 1, 4640, 'F', 48, 0.9054);</t>
  </si>
  <si>
    <t>INSERT INTO tblWMA (WMADistance, WMARoad, WMAWRTime, WMASex, WMAAge, WMAFactor) VALUES (25, 1, 4640, 'F', 49, 0.8949);</t>
  </si>
  <si>
    <t>INSERT INTO tblWMA (WMADistance, WMARoad, WMAWRTime, WMASex, WMAAge, WMAFactor) VALUES (25, 1, 4640, 'F', 50, 0.8843);</t>
  </si>
  <si>
    <t>INSERT INTO tblWMA (WMADistance, WMARoad, WMAWRTime, WMASex, WMAAge, WMAFactor) VALUES (25, 1, 4640, 'F', 51, 0.8737);</t>
  </si>
  <si>
    <t>INSERT INTO tblWMA (WMADistance, WMARoad, WMAWRTime, WMASex, WMAAge, WMAFactor) VALUES (25, 1, 4640, 'F', 52, 0.8632);</t>
  </si>
  <si>
    <t>INSERT INTO tblWMA (WMADistance, WMARoad, WMAWRTime, WMASex, WMAAge, WMAFactor) VALUES (25, 1, 4640, 'F', 53, 0.8526);</t>
  </si>
  <si>
    <t>INSERT INTO tblWMA (WMADistance, WMARoad, WMAWRTime, WMASex, WMAAge, WMAFactor) VALUES (25, 1, 4640, 'F', 54, 0.842);</t>
  </si>
  <si>
    <t>INSERT INTO tblWMA (WMADistance, WMARoad, WMAWRTime, WMASex, WMAAge, WMAFactor) VALUES (25, 1, 4640, 'F', 55, 0.8315);</t>
  </si>
  <si>
    <t>INSERT INTO tblWMA (WMADistance, WMARoad, WMAWRTime, WMASex, WMAAge, WMAFactor) VALUES (25, 1, 4640, 'F', 56, 0.8209);</t>
  </si>
  <si>
    <t>INSERT INTO tblWMA (WMADistance, WMARoad, WMAWRTime, WMASex, WMAAge, WMAFactor) VALUES (25, 1, 4640, 'F', 57, 0.8104);</t>
  </si>
  <si>
    <t>INSERT INTO tblWMA (WMADistance, WMARoad, WMAWRTime, WMASex, WMAAge, WMAFactor) VALUES (25, 1, 4640, 'F', 58, 0.7998);</t>
  </si>
  <si>
    <t>INSERT INTO tblWMA (WMADistance, WMARoad, WMAWRTime, WMASex, WMAAge, WMAFactor) VALUES (25, 1, 4640, 'F', 59, 0.7892);</t>
  </si>
  <si>
    <t>INSERT INTO tblWMA (WMADistance, WMARoad, WMAWRTime, WMASex, WMAAge, WMAFactor) VALUES (25, 1, 4640, 'F', 60, 0.7787);</t>
  </si>
  <si>
    <t>INSERT INTO tblWMA (WMADistance, WMARoad, WMAWRTime, WMASex, WMAAge, WMAFactor) VALUES (25, 1, 4640, 'F', 61, 0.7681);</t>
  </si>
  <si>
    <t>INSERT INTO tblWMA (WMADistance, WMARoad, WMAWRTime, WMASex, WMAAge, WMAFactor) VALUES (25, 1, 4640, 'F', 62, 0.7576);</t>
  </si>
  <si>
    <t>INSERT INTO tblWMA (WMADistance, WMARoad, WMAWRTime, WMASex, WMAAge, WMAFactor) VALUES (25, 1, 4640, 'F', 63, 0.747);</t>
  </si>
  <si>
    <t>INSERT INTO tblWMA (WMADistance, WMARoad, WMAWRTime, WMASex, WMAAge, WMAFactor) VALUES (25, 1, 4640, 'F', 64, 0.7364);</t>
  </si>
  <si>
    <t>INSERT INTO tblWMA (WMADistance, WMARoad, WMAWRTime, WMASex, WMAAge, WMAFactor) VALUES (25, 1, 4640, 'F', 65, 0.7259);</t>
  </si>
  <si>
    <t>INSERT INTO tblWMA (WMADistance, WMARoad, WMAWRTime, WMASex, WMAAge, WMAFactor) VALUES (25, 1, 4640, 'F', 66, 0.7153);</t>
  </si>
  <si>
    <t>INSERT INTO tblWMA (WMADistance, WMARoad, WMAWRTime, WMASex, WMAAge, WMAFactor) VALUES (25, 1, 4640, 'F', 67, 0.7047);</t>
  </si>
  <si>
    <t>INSERT INTO tblWMA (WMADistance, WMARoad, WMAWRTime, WMASex, WMAAge, WMAFactor) VALUES (25, 1, 4640, 'F', 68, 0.6942);</t>
  </si>
  <si>
    <t>INSERT INTO tblWMA (WMADistance, WMARoad, WMAWRTime, WMASex, WMAAge, WMAFactor) VALUES (25, 1, 4640, 'F', 69, 0.6836);</t>
  </si>
  <si>
    <t>INSERT INTO tblWMA (WMADistance, WMARoad, WMAWRTime, WMASex, WMAAge, WMAFactor) VALUES (25, 1, 4640, 'F', 70, 0.6731);</t>
  </si>
  <si>
    <t>INSERT INTO tblWMA (WMADistance, WMARoad, WMAWRTime, WMASex, WMAAge, WMAFactor) VALUES (25, 1, 4640, 'F', 71, 0.6625);</t>
  </si>
  <si>
    <t>INSERT INTO tblWMA (WMADistance, WMARoad, WMAWRTime, WMASex, WMAAge, WMAFactor) VALUES (25, 1, 4640, 'F', 72, 0.6519);</t>
  </si>
  <si>
    <t>INSERT INTO tblWMA (WMADistance, WMARoad, WMAWRTime, WMASex, WMAAge, WMAFactor) VALUES (25, 1, 4640, 'F', 73, 0.6414);</t>
  </si>
  <si>
    <t>INSERT INTO tblWMA (WMADistance, WMARoad, WMAWRTime, WMASex, WMAAge, WMAFactor) VALUES (25, 1, 4640, 'F', 74, 0.6308);</t>
  </si>
  <si>
    <t>INSERT INTO tblWMA (WMADistance, WMARoad, WMAWRTime, WMASex, WMAAge, WMAFactor) VALUES (25, 1, 4640, 'F', 75, 0.6203);</t>
  </si>
  <si>
    <t>INSERT INTO tblWMA (WMADistance, WMARoad, WMAWRTime, WMASex, WMAAge, WMAFactor) VALUES (25, 1, 4640, 'F', 76, 0.6096);</t>
  </si>
  <si>
    <t>INSERT INTO tblWMA (WMADistance, WMARoad, WMAWRTime, WMASex, WMAAge, WMAFactor) VALUES (25, 1, 4640, 'F', 77, 0.5982);</t>
  </si>
  <si>
    <t>INSERT INTO tblWMA (WMADistance, WMARoad, WMAWRTime, WMASex, WMAAge, WMAFactor) VALUES (25, 1, 4640, 'F', 78, 0.5859);</t>
  </si>
  <si>
    <t>INSERT INTO tblWMA (WMADistance, WMARoad, WMAWRTime, WMASex, WMAAge, WMAFactor) VALUES (25, 1, 4640, 'F', 79, 0.5729);</t>
  </si>
  <si>
    <t>INSERT INTO tblWMA (WMADistance, WMARoad, WMAWRTime, WMASex, WMAAge, WMAFactor) VALUES (25, 1, 4640, 'F', 80, 0.5591);</t>
  </si>
  <si>
    <t>INSERT INTO tblWMA (WMADistance, WMARoad, WMAWRTime, WMASex, WMAAge, WMAFactor) VALUES (25, 1, 4640, 'F', 81, 0.5445);</t>
  </si>
  <si>
    <t>INSERT INTO tblWMA (WMADistance, WMARoad, WMAWRTime, WMASex, WMAAge, WMAFactor) VALUES (25, 1, 4640, 'F', 82, 0.5291);</t>
  </si>
  <si>
    <t>INSERT INTO tblWMA (WMADistance, WMARoad, WMAWRTime, WMASex, WMAAge, WMAFactor) VALUES (25, 1, 4640, 'F', 83, 0.5129);</t>
  </si>
  <si>
    <t>INSERT INTO tblWMA (WMADistance, WMARoad, WMAWRTime, WMASex, WMAAge, WMAFactor) VALUES (25, 1, 4640, 'F', 84, 0.4959);</t>
  </si>
  <si>
    <t>INSERT INTO tblWMA (WMADistance, WMARoad, WMAWRTime, WMASex, WMAAge, WMAFactor) VALUES (25, 1, 4640, 'F', 85, 0.4781);</t>
  </si>
  <si>
    <t>INSERT INTO tblWMA (WMADistance, WMARoad, WMAWRTime, WMASex, WMAAge, WMAFactor) VALUES (25, 1, 4640, 'F', 86, 0.4595);</t>
  </si>
  <si>
    <t>INSERT INTO tblWMA (WMADistance, WMARoad, WMAWRTime, WMASex, WMAAge, WMAFactor) VALUES (25, 1, 4640, 'F', 87, 0.4401);</t>
  </si>
  <si>
    <t>INSERT INTO tblWMA (WMADistance, WMARoad, WMAWRTime, WMASex, WMAAge, WMAFactor) VALUES (25, 1, 4640, 'F', 88, 0.4199);</t>
  </si>
  <si>
    <t>INSERT INTO tblWMA (WMADistance, WMARoad, WMAWRTime, WMASex, WMAAge, WMAFactor) VALUES (25, 1, 4640, 'F', 89, 0.3989);</t>
  </si>
  <si>
    <t>INSERT INTO tblWMA (WMADistance, WMARoad, WMAWRTime, WMASex, WMAAge, WMAFactor) VALUES (25, 1, 4640, 'F', 90, 0.3771);</t>
  </si>
  <si>
    <t>INSERT INTO tblWMA (WMADistance, WMARoad, WMAWRTime, WMASex, WMAAge, WMAFactor) VALUES (25, 1, 4640, 'F', 91, 0.3545);</t>
  </si>
  <si>
    <t>INSERT INTO tblWMA (WMADistance, WMARoad, WMAWRTime, WMASex, WMAAge, WMAFactor) VALUES (25, 1, 4640, 'F', 92, 0.3312);</t>
  </si>
  <si>
    <t>INSERT INTO tblWMA (WMADistance, WMARoad, WMAWRTime, WMASex, WMAAge, WMAFactor) VALUES (25, 1, 4640, 'F', 93, 0.307);</t>
  </si>
  <si>
    <t>INSERT INTO tblWMA (WMADistance, WMARoad, WMAWRTime, WMASex, WMAAge, WMAFactor) VALUES (25, 1, 4640, 'F', 94, 0.282);</t>
  </si>
  <si>
    <t>INSERT INTO tblWMA (WMADistance, WMARoad, WMAWRTime, WMASex, WMAAge, WMAFactor) VALUES (25, 1, 4640, 'F', 95, 0.2562);</t>
  </si>
  <si>
    <t>INSERT INTO tblWMA (WMADistance, WMARoad, WMAWRTime, WMASex, WMAAge, WMAFactor) VALUES (25, 1, 4640, 'F', 96, 0.2296);</t>
  </si>
  <si>
    <t>INSERT INTO tblWMA (WMADistance, WMARoad, WMAWRTime, WMASex, WMAAge, WMAFactor) VALUES (25, 1, 4640, 'F', 97, 0.2022);</t>
  </si>
  <si>
    <t>INSERT INTO tblWMA (WMADistance, WMARoad, WMAWRTime, WMASex, WMAAge, WMAFactor) VALUES (25, 1, 4640, 'F', 98, 0.174);</t>
  </si>
  <si>
    <t>INSERT INTO tblWMA (WMADistance, WMARoad, WMAWRTime, WMASex, WMAAge, WMAFactor) VALUES (25, 1, 4640, 'F', 99, 0.1451);</t>
  </si>
  <si>
    <t>INSERT INTO tblWMA (WMADistance, WMARoad, WMAWRTime, WMASex, WMAAge, WMAFactor) VALUES (25, 1, 4640, 'F', 100, 0.1153);</t>
  </si>
  <si>
    <t>INSERT INTO tblWMA (WMADistance, WMARoad, WMAWRTime, WMASex, WMAAge, WMAFactor) VALUES (30, 1, 5625, 'F', 5, 0.654);</t>
  </si>
  <si>
    <t>INSERT INTO tblWMA (WMADistance, WMARoad, WMAWRTime, WMASex, WMAAge, WMAFactor) VALUES (30, 1, 5625, 'F', 6, 0.6882);</t>
  </si>
  <si>
    <t>INSERT INTO tblWMA (WMADistance, WMARoad, WMAWRTime, WMASex, WMAAge, WMAFactor) VALUES (30, 1, 5625, 'F', 7, 0.7206);</t>
  </si>
  <si>
    <t>INSERT INTO tblWMA (WMADistance, WMARoad, WMAWRTime, WMASex, WMAAge, WMAFactor) VALUES (30, 1, 5625, 'F', 8, 0.7514);</t>
  </si>
  <si>
    <t>INSERT INTO tblWMA (WMADistance, WMARoad, WMAWRTime, WMASex, WMAAge, WMAFactor) VALUES (30, 1, 5625, 'F', 9, 0.7804);</t>
  </si>
  <si>
    <t>INSERT INTO tblWMA (WMADistance, WMARoad, WMAWRTime, WMASex, WMAAge, WMAFactor) VALUES (30, 1, 5625, 'F', 10, 0.8078);</t>
  </si>
  <si>
    <t>INSERT INTO tblWMA (WMADistance, WMARoad, WMAWRTime, WMASex, WMAAge, WMAFactor) VALUES (30, 1, 5625, 'F', 11, 0.8334);</t>
  </si>
  <si>
    <t>INSERT INTO tblWMA (WMADistance, WMARoad, WMAWRTime, WMASex, WMAAge, WMAFactor) VALUES (30, 1, 5625, 'F', 12, 0.8574);</t>
  </si>
  <si>
    <t>INSERT INTO tblWMA (WMADistance, WMARoad, WMAWRTime, WMASex, WMAAge, WMAFactor) VALUES (30, 1, 5625, 'F', 13, 0.8796);</t>
  </si>
  <si>
    <t>INSERT INTO tblWMA (WMADistance, WMARoad, WMAWRTime, WMASex, WMAAge, WMAFactor) VALUES (30, 1, 5625, 'F', 14, 0.9002);</t>
  </si>
  <si>
    <t>INSERT INTO tblWMA (WMADistance, WMARoad, WMAWRTime, WMASex, WMAAge, WMAFactor) VALUES (30, 1, 5625, 'F', 15, 0.919);</t>
  </si>
  <si>
    <t>INSERT INTO tblWMA (WMADistance, WMARoad, WMAWRTime, WMASex, WMAAge, WMAFactor) VALUES (30, 1, 5625, 'F', 16, 0.937);</t>
  </si>
  <si>
    <t>INSERT INTO tblWMA (WMADistance, WMARoad, WMAWRTime, WMASex, WMAAge, WMAFactor) VALUES (30, 1, 5625, 'F', 17, 0.955);</t>
  </si>
  <si>
    <t>INSERT INTO tblWMA (WMADistance, WMARoad, WMAWRTime, WMASex, WMAAge, WMAFactor) VALUES (30, 1, 5625, 'F', 18, 0.9712);</t>
  </si>
  <si>
    <t>INSERT INTO tblWMA (WMADistance, WMARoad, WMAWRTime, WMASex, WMAAge, WMAFactor) VALUES (30, 1, 5625, 'F', 19, 0.9838);</t>
  </si>
  <si>
    <t>INSERT INTO tblWMA (WMADistance, WMARoad, WMAWRTime, WMASex, WMAAge, WMAFactor) VALUES (30, 1, 5625, 'F', 20, 0.9928);</t>
  </si>
  <si>
    <t>INSERT INTO tblWMA (WMADistance, WMARoad, WMAWRTime, WMASex, WMAAge, WMAFactor) VALUES (30, 1, 5625, 'F', 21, 0.9982);</t>
  </si>
  <si>
    <t>INSERT INTO tblWMA (WMADistance, WMARoad, WMAWRTime, WMASex, WMAAge, WMAFactor) VALUES (30, 1, 5625, 'F', 22, 1);</t>
  </si>
  <si>
    <t>INSERT INTO tblWMA (WMADistance, WMARoad, WMAWRTime, WMASex, WMAAge, WMAFactor) VALUES (30, 1, 5625, 'F', 23, 1);</t>
  </si>
  <si>
    <t>INSERT INTO tblWMA (WMADistance, WMARoad, WMAWRTime, WMASex, WMAAge, WMAFactor) VALUES (30, 1, 5625, 'F', 24, 1);</t>
  </si>
  <si>
    <t>INSERT INTO tblWMA (WMADistance, WMARoad, WMAWRTime, WMASex, WMAAge, WMAFactor) VALUES (30, 1, 5625, 'F', 25, 1);</t>
  </si>
  <si>
    <t>INSERT INTO tblWMA (WMADistance, WMARoad, WMAWRTime, WMASex, WMAAge, WMAFactor) VALUES (30, 1, 5625, 'F', 26, 1);</t>
  </si>
  <si>
    <t>INSERT INTO tblWMA (WMADistance, WMARoad, WMAWRTime, WMASex, WMAAge, WMAFactor) VALUES (30, 1, 5625, 'F', 27, 1);</t>
  </si>
  <si>
    <t>INSERT INTO tblWMA (WMADistance, WMARoad, WMAWRTime, WMASex, WMAAge, WMAFactor) VALUES (30, 1, 5625, 'F', 28, 1);</t>
  </si>
  <si>
    <t>INSERT INTO tblWMA (WMADistance, WMARoad, WMAWRTime, WMASex, WMAAge, WMAFactor) VALUES (30, 1, 5625, 'F', 29, 1);</t>
  </si>
  <si>
    <t>INSERT INTO tblWMA (WMADistance, WMARoad, WMAWRTime, WMASex, WMAAge, WMAFactor) VALUES (30, 1, 5625, 'F', 30, 1);</t>
  </si>
  <si>
    <t>INSERT INTO tblWMA (WMADistance, WMARoad, WMAWRTime, WMASex, WMAAge, WMAFactor) VALUES (30, 1, 5625, 'F', 31, 0.9999);</t>
  </si>
  <si>
    <t>INSERT INTO tblWMA (WMADistance, WMARoad, WMAWRTime, WMASex, WMAAge, WMAFactor) VALUES (30, 1, 5625, 'F', 32, 0.9992);</t>
  </si>
  <si>
    <t>INSERT INTO tblWMA (WMADistance, WMARoad, WMAWRTime, WMASex, WMAAge, WMAFactor) VALUES (30, 1, 5625, 'F', 33, 0.9979);</t>
  </si>
  <si>
    <t>INSERT INTO tblWMA (WMADistance, WMARoad, WMAWRTime, WMASex, WMAAge, WMAFactor) VALUES (30, 1, 5625, 'F', 34, 0.996);</t>
  </si>
  <si>
    <t>INSERT INTO tblWMA (WMADistance, WMARoad, WMAWRTime, WMASex, WMAAge, WMAFactor) VALUES (30, 1, 5625, 'F', 35, 0.9935);</t>
  </si>
  <si>
    <t>INSERT INTO tblWMA (WMADistance, WMARoad, WMAWRTime, WMASex, WMAAge, WMAFactor) VALUES (30, 1, 5625, 'F', 36, 0.9904);</t>
  </si>
  <si>
    <t>INSERT INTO tblWMA (WMADistance, WMARoad, WMAWRTime, WMASex, WMAAge, WMAFactor) VALUES (30, 1, 5625, 'F', 37, 0.9867);</t>
  </si>
  <si>
    <t>INSERT INTO tblWMA (WMADistance, WMARoad, WMAWRTime, WMASex, WMAAge, WMAFactor) VALUES (30, 1, 5625, 'F', 38, 0.9824);</t>
  </si>
  <si>
    <t>INSERT INTO tblWMA (WMADistance, WMARoad, WMAWRTime, WMASex, WMAAge, WMAFactor) VALUES (30, 1, 5625, 'F', 39, 0.9775);</t>
  </si>
  <si>
    <t>INSERT INTO tblWMA (WMADistance, WMARoad, WMAWRTime, WMASex, WMAAge, WMAFactor) VALUES (30, 1, 5625, 'F', 40, 0.972);</t>
  </si>
  <si>
    <t>INSERT INTO tblWMA (WMADistance, WMARoad, WMAWRTime, WMASex, WMAAge, WMAFactor) VALUES (30, 1, 5625, 'F', 41, 0.9659);</t>
  </si>
  <si>
    <t>INSERT INTO tblWMA (WMADistance, WMARoad, WMAWRTime, WMASex, WMAAge, WMAFactor) VALUES (30, 1, 5625, 'F', 42, 0.9593);</t>
  </si>
  <si>
    <t>INSERT INTO tblWMA (WMADistance, WMARoad, WMAWRTime, WMASex, WMAAge, WMAFactor) VALUES (30, 1, 5625, 'F', 43, 0.952);</t>
  </si>
  <si>
    <t>INSERT INTO tblWMA (WMADistance, WMARoad, WMAWRTime, WMASex, WMAAge, WMAFactor) VALUES (30, 1, 5625, 'F', 44, 0.9441);</t>
  </si>
  <si>
    <t>INSERT INTO tblWMA (WMADistance, WMARoad, WMAWRTime, WMASex, WMAAge, WMAFactor) VALUES (30, 1, 5625, 'F', 45, 0.9357);</t>
  </si>
  <si>
    <t>INSERT INTO tblWMA (WMADistance, WMARoad, WMAWRTime, WMASex, WMAAge, WMAFactor) VALUES (30, 1, 5625, 'F', 46, 0.9266);</t>
  </si>
  <si>
    <t>INSERT INTO tblWMA (WMADistance, WMARoad, WMAWRTime, WMASex, WMAAge, WMAFactor) VALUES (30, 1, 5625, 'F', 47, 0.9169);</t>
  </si>
  <si>
    <t>INSERT INTO tblWMA (WMADistance, WMARoad, WMAWRTime, WMASex, WMAAge, WMAFactor) VALUES (30, 1, 5625, 'F', 48, 0.9067);</t>
  </si>
  <si>
    <t>INSERT INTO tblWMA (WMADistance, WMARoad, WMAWRTime, WMASex, WMAAge, WMAFactor) VALUES (30, 1, 5625, 'F', 49, 0.896);</t>
  </si>
  <si>
    <t>INSERT INTO tblWMA (WMADistance, WMARoad, WMAWRTime, WMASex, WMAAge, WMAFactor) VALUES (30, 1, 5625, 'F', 50, 0.8852);</t>
  </si>
  <si>
    <t>INSERT INTO tblWMA (WMADistance, WMARoad, WMAWRTime, WMASex, WMAAge, WMAFactor) VALUES (30, 1, 5625, 'F', 51, 0.8745);</t>
  </si>
  <si>
    <t>INSERT INTO tblWMA (WMADistance, WMARoad, WMAWRTime, WMASex, WMAAge, WMAFactor) VALUES (30, 1, 5625, 'F', 52, 0.8637);</t>
  </si>
  <si>
    <t>INSERT INTO tblWMA (WMADistance, WMARoad, WMAWRTime, WMASex, WMAAge, WMAFactor) VALUES (30, 1, 5625, 'F', 53, 0.853);</t>
  </si>
  <si>
    <t>INSERT INTO tblWMA (WMADistance, WMARoad, WMAWRTime, WMASex, WMAAge, WMAFactor) VALUES (30, 1, 5625, 'F', 54, 0.8423);</t>
  </si>
  <si>
    <t>INSERT INTO tblWMA (WMADistance, WMARoad, WMAWRTime, WMASex, WMAAge, WMAFactor) VALUES (30, 1, 5625, 'F', 55, 0.8315);</t>
  </si>
  <si>
    <t>INSERT INTO tblWMA (WMADistance, WMARoad, WMAWRTime, WMASex, WMAAge, WMAFactor) VALUES (30, 1, 5625, 'F', 56, 0.8208);</t>
  </si>
  <si>
    <t>INSERT INTO tblWMA (WMADistance, WMARoad, WMAWRTime, WMASex, WMAAge, WMAFactor) VALUES (30, 1, 5625, 'F', 57, 0.8101);</t>
  </si>
  <si>
    <t>INSERT INTO tblWMA (WMADistance, WMARoad, WMAWRTime, WMASex, WMAAge, WMAFactor) VALUES (30, 1, 5625, 'F', 58, 0.7993);</t>
  </si>
  <si>
    <t>INSERT INTO tblWMA (WMADistance, WMARoad, WMAWRTime, WMASex, WMAAge, WMAFactor) VALUES (30, 1, 5625, 'F', 59, 0.7886);</t>
  </si>
  <si>
    <t>INSERT INTO tblWMA (WMADistance, WMARoad, WMAWRTime, WMASex, WMAAge, WMAFactor) VALUES (30, 1, 5625, 'F', 60, 0.7779);</t>
  </si>
  <si>
    <t>INSERT INTO tblWMA (WMADistance, WMARoad, WMAWRTime, WMASex, WMAAge, WMAFactor) VALUES (30, 1, 5625, 'F', 61, 0.7671);</t>
  </si>
  <si>
    <t>INSERT INTO tblWMA (WMADistance, WMARoad, WMAWRTime, WMASex, WMAAge, WMAFactor) VALUES (30, 1, 5625, 'F', 62, 0.7564);</t>
  </si>
  <si>
    <t>INSERT INTO tblWMA (WMADistance, WMARoad, WMAWRTime, WMASex, WMAAge, WMAFactor) VALUES (30, 1, 5625, 'F', 63, 0.7457);</t>
  </si>
  <si>
    <t>INSERT INTO tblWMA (WMADistance, WMARoad, WMAWRTime, WMASex, WMAAge, WMAFactor) VALUES (30, 1, 5625, 'F', 64, 0.7349);</t>
  </si>
  <si>
    <t>INSERT INTO tblWMA (WMADistance, WMARoad, WMAWRTime, WMASex, WMAAge, WMAFactor) VALUES (30, 1, 5625, 'F', 65, 0.7242);</t>
  </si>
  <si>
    <t>INSERT INTO tblWMA (WMADistance, WMARoad, WMAWRTime, WMASex, WMAAge, WMAFactor) VALUES (30, 1, 5625, 'F', 66, 0.7135);</t>
  </si>
  <si>
    <t>INSERT INTO tblWMA (WMADistance, WMARoad, WMAWRTime, WMASex, WMAAge, WMAFactor) VALUES (30, 1, 5625, 'F', 67, 0.7027);</t>
  </si>
  <si>
    <t>INSERT INTO tblWMA (WMADistance, WMARoad, WMAWRTime, WMASex, WMAAge, WMAFactor) VALUES (30, 1, 5625, 'F', 68, 0.692);</t>
  </si>
  <si>
    <t>INSERT INTO tblWMA (WMADistance, WMARoad, WMAWRTime, WMASex, WMAAge, WMAFactor) VALUES (30, 1, 5625, 'F', 69, 0.6812);</t>
  </si>
  <si>
    <t>INSERT INTO tblWMA (WMADistance, WMARoad, WMAWRTime, WMASex, WMAAge, WMAFactor) VALUES (30, 1, 5625, 'F', 70, 0.6705);</t>
  </si>
  <si>
    <t>INSERT INTO tblWMA (WMADistance, WMARoad, WMAWRTime, WMASex, WMAAge, WMAFactor) VALUES (30, 1, 5625, 'F', 71, 0.6598);</t>
  </si>
  <si>
    <t>INSERT INTO tblWMA (WMADistance, WMARoad, WMAWRTime, WMASex, WMAAge, WMAFactor) VALUES (30, 1, 5625, 'F', 72, 0.649);</t>
  </si>
  <si>
    <t>INSERT INTO tblWMA (WMADistance, WMARoad, WMAWRTime, WMASex, WMAAge, WMAFactor) VALUES (30, 1, 5625, 'F', 73, 0.6383);</t>
  </si>
  <si>
    <t>INSERT INTO tblWMA (WMADistance, WMARoad, WMAWRTime, WMASex, WMAAge, WMAFactor) VALUES (30, 1, 5625, 'F', 74, 0.6276);</t>
  </si>
  <si>
    <t>INSERT INTO tblWMA (WMADistance, WMARoad, WMAWRTime, WMASex, WMAAge, WMAFactor) VALUES (30, 1, 5625, 'F', 75, 0.6168);</t>
  </si>
  <si>
    <t>INSERT INTO tblWMA (WMADistance, WMARoad, WMAWRTime, WMASex, WMAAge, WMAFactor) VALUES (30, 1, 5625, 'F', 76, 0.6056);</t>
  </si>
  <si>
    <t>INSERT INTO tblWMA (WMADistance, WMARoad, WMAWRTime, WMASex, WMAAge, WMAFactor) VALUES (30, 1, 5625, 'F', 77, 0.5937);</t>
  </si>
  <si>
    <t>INSERT INTO tblWMA (WMADistance, WMARoad, WMAWRTime, WMASex, WMAAge, WMAFactor) VALUES (30, 1, 5625, 'F', 78, 0.5809);</t>
  </si>
  <si>
    <t>INSERT INTO tblWMA (WMADistance, WMARoad, WMAWRTime, WMASex, WMAAge, WMAFactor) VALUES (30, 1, 5625, 'F', 79, 0.5673);</t>
  </si>
  <si>
    <t>INSERT INTO tblWMA (WMADistance, WMARoad, WMAWRTime, WMASex, WMAAge, WMAFactor) VALUES (30, 1, 5625, 'F', 80, 0.5529);</t>
  </si>
  <si>
    <t>INSERT INTO tblWMA (WMADistance, WMARoad, WMAWRTime, WMASex, WMAAge, WMAFactor) VALUES (30, 1, 5625, 'F', 81, 0.5377);</t>
  </si>
  <si>
    <t>INSERT INTO tblWMA (WMADistance, WMARoad, WMAWRTime, WMASex, WMAAge, WMAFactor) VALUES (30, 1, 5625, 'F', 82, 0.5218);</t>
  </si>
  <si>
    <t>INSERT INTO tblWMA (WMADistance, WMARoad, WMAWRTime, WMASex, WMAAge, WMAFactor) VALUES (30, 1, 5625, 'F', 83, 0.505);</t>
  </si>
  <si>
    <t>INSERT INTO tblWMA (WMADistance, WMARoad, WMAWRTime, WMASex, WMAAge, WMAFactor) VALUES (30, 1, 5625, 'F', 84, 0.4874);</t>
  </si>
  <si>
    <t>INSERT INTO tblWMA (WMADistance, WMARoad, WMAWRTime, WMASex, WMAAge, WMAFactor) VALUES (30, 1, 5625, 'F', 85, 0.469);</t>
  </si>
  <si>
    <t>INSERT INTO tblWMA (WMADistance, WMARoad, WMAWRTime, WMASex, WMAAge, WMAFactor) VALUES (30, 1, 5625, 'F', 86, 0.4498);</t>
  </si>
  <si>
    <t>INSERT INTO tblWMA (WMADistance, WMARoad, WMAWRTime, WMASex, WMAAge, WMAFactor) VALUES (30, 1, 5625, 'F', 87, 0.4299);</t>
  </si>
  <si>
    <t>INSERT INTO tblWMA (WMADistance, WMARoad, WMAWRTime, WMASex, WMAAge, WMAFactor) VALUES (30, 1, 5625, 'F', 88, 0.4091);</t>
  </si>
  <si>
    <t>INSERT INTO tblWMA (WMADistance, WMARoad, WMAWRTime, WMASex, WMAAge, WMAFactor) VALUES (30, 1, 5625, 'F', 89, 0.3875);</t>
  </si>
  <si>
    <t>INSERT INTO tblWMA (WMADistance, WMARoad, WMAWRTime, WMASex, WMAAge, WMAFactor) VALUES (30, 1, 5625, 'F', 90, 0.3651);</t>
  </si>
  <si>
    <t>INSERT INTO tblWMA (WMADistance, WMARoad, WMAWRTime, WMASex, WMAAge, WMAFactor) VALUES (30, 1, 5625, 'F', 91, 0.342);</t>
  </si>
  <si>
    <t>INSERT INTO tblWMA (WMADistance, WMARoad, WMAWRTime, WMASex, WMAAge, WMAFactor) VALUES (30, 1, 5625, 'F', 92, 0.318);</t>
  </si>
  <si>
    <t>INSERT INTO tblWMA (WMADistance, WMARoad, WMAWRTime, WMASex, WMAAge, WMAFactor) VALUES (30, 1, 5625, 'F', 93, 0.2932);</t>
  </si>
  <si>
    <t>INSERT INTO tblWMA (WMADistance, WMARoad, WMAWRTime, WMASex, WMAAge, WMAFactor) VALUES (30, 1, 5625, 'F', 94, 0.2677);</t>
  </si>
  <si>
    <t>INSERT INTO tblWMA (WMADistance, WMARoad, WMAWRTime, WMASex, WMAAge, WMAFactor) VALUES (30, 1, 5625, 'F', 95, 0.2413);</t>
  </si>
  <si>
    <t>INSERT INTO tblWMA (WMADistance, WMARoad, WMAWRTime, WMASex, WMAAge, WMAFactor) VALUES (30, 1, 5625, 'F', 96, 0.2141);</t>
  </si>
  <si>
    <t>INSERT INTO tblWMA (WMADistance, WMARoad, WMAWRTime, WMASex, WMAAge, WMAFactor) VALUES (30, 1, 5625, 'F', 97, 0.1862);</t>
  </si>
  <si>
    <t>INSERT INTO tblWMA (WMADistance, WMARoad, WMAWRTime, WMASex, WMAAge, WMAFactor) VALUES (30, 1, 5625, 'F', 98, 0.1574);</t>
  </si>
  <si>
    <t>INSERT INTO tblWMA (WMADistance, WMARoad, WMAWRTime, WMASex, WMAAge, WMAFactor) VALUES (30, 1, 5625, 'F', 99, 0.1278);</t>
  </si>
  <si>
    <t>INSERT INTO tblWMA (WMADistance, WMARoad, WMAWRTime, WMASex, WMAAge, WMAFactor) VALUES (30, 1, 5625, 'F', 100, 0.0975);</t>
  </si>
  <si>
    <t>INSERT INTO tblWMA (WMADistance, WMARoad, WMAWRTime, WMASex, WMAAge, WMAFactor) VALUES (42.195, 1, 8044, 'F', 5, 0.677);</t>
  </si>
  <si>
    <t>INSERT INTO tblWMA (WMADistance, WMARoad, WMAWRTime, WMASex, WMAAge, WMAFactor) VALUES (42.195, 1, 8044, 'F', 6, 0.7103);</t>
  </si>
  <si>
    <t>INSERT INTO tblWMA (WMADistance, WMARoad, WMAWRTime, WMASex, WMAAge, WMAFactor) VALUES (42.195, 1, 8044, 'F', 7, 0.7418);</t>
  </si>
  <si>
    <t>INSERT INTO tblWMA (WMADistance, WMARoad, WMAWRTime, WMASex, WMAAge, WMAFactor) VALUES (42.195, 1, 8044, 'F', 8, 0.7714);</t>
  </si>
  <si>
    <t>INSERT INTO tblWMA (WMADistance, WMARoad, WMAWRTime, WMASex, WMAAge, WMAFactor) VALUES (42.195, 1, 8044, 'F', 9, 0.7992);</t>
  </si>
  <si>
    <t>INSERT INTO tblWMA (WMADistance, WMARoad, WMAWRTime, WMASex, WMAAge, WMAFactor) VALUES (42.195, 1, 8044, 'F', 10, 0.8253);</t>
  </si>
  <si>
    <t>INSERT INTO tblWMA (WMADistance, WMARoad, WMAWRTime, WMASex, WMAAge, WMAFactor) VALUES (42.195, 1, 8044, 'F', 11, 0.8494);</t>
  </si>
  <si>
    <t>INSERT INTO tblWMA (WMADistance, WMARoad, WMAWRTime, WMASex, WMAAge, WMAFactor) VALUES (42.195, 1, 8044, 'F', 12, 0.8718);</t>
  </si>
  <si>
    <t>INSERT INTO tblWMA (WMADistance, WMARoad, WMAWRTime, WMASex, WMAAge, WMAFactor) VALUES (42.195, 1, 8044, 'F', 13, 0.8924);</t>
  </si>
  <si>
    <t>INSERT INTO tblWMA (WMADistance, WMARoad, WMAWRTime, WMASex, WMAAge, WMAFactor) VALUES (42.195, 1, 8044, 'F', 14, 0.9111);</t>
  </si>
  <si>
    <t>INSERT INTO tblWMA (WMADistance, WMARoad, WMAWRTime, WMASex, WMAAge, WMAFactor) VALUES (42.195, 1, 8044, 'F', 15, 0.928);</t>
  </si>
  <si>
    <t>INSERT INTO tblWMA (WMADistance, WMARoad, WMAWRTime, WMASex, WMAAge, WMAFactor) VALUES (42.195, 1, 8044, 'F', 16, 0.944);</t>
  </si>
  <si>
    <t>INSERT INTO tblWMA (WMADistance, WMARoad, WMAWRTime, WMASex, WMAAge, WMAFactor) VALUES (42.195, 1, 8044, 'F', 17, 0.96);</t>
  </si>
  <si>
    <t>INSERT INTO tblWMA (WMADistance, WMARoad, WMAWRTime, WMASex, WMAAge, WMAFactor) VALUES (42.195, 1, 8044, 'F', 18, 0.9744);</t>
  </si>
  <si>
    <t>INSERT INTO tblWMA (WMADistance, WMARoad, WMAWRTime, WMASex, WMAAge, WMAFactor) VALUES (42.195, 1, 8044, 'F', 19, 0.9856);</t>
  </si>
  <si>
    <t>INSERT INTO tblWMA (WMADistance, WMARoad, WMAWRTime, WMASex, WMAAge, WMAFactor) VALUES (42.195, 1, 8044, 'F', 20, 0.9936);</t>
  </si>
  <si>
    <t>INSERT INTO tblWMA (WMADistance, WMARoad, WMAWRTime, WMASex, WMAAge, WMAFactor) VALUES (42.195, 1, 8044, 'F', 21, 0.9984);</t>
  </si>
  <si>
    <t>INSERT INTO tblWMA (WMADistance, WMARoad, WMAWRTime, WMASex, WMAAge, WMAFactor) VALUES (42.195, 1, 8044, 'F', 22, 1);</t>
  </si>
  <si>
    <t>INSERT INTO tblWMA (WMADistance, WMARoad, WMAWRTime, WMASex, WMAAge, WMAFactor) VALUES (42.195, 1, 8044, 'F', 23, 1);</t>
  </si>
  <si>
    <t>INSERT INTO tblWMA (WMADistance, WMARoad, WMAWRTime, WMASex, WMAAge, WMAFactor) VALUES (42.195, 1, 8044, 'F', 24, 1);</t>
  </si>
  <si>
    <t>INSERT INTO tblWMA (WMADistance, WMARoad, WMAWRTime, WMASex, WMAAge, WMAFactor) VALUES (42.195, 1, 8044, 'F', 25, 1);</t>
  </si>
  <si>
    <t>INSERT INTO tblWMA (WMADistance, WMARoad, WMAWRTime, WMASex, WMAAge, WMAFactor) VALUES (42.195, 1, 8044, 'F', 26, 1);</t>
  </si>
  <si>
    <t>INSERT INTO tblWMA (WMADistance, WMARoad, WMAWRTime, WMASex, WMAAge, WMAFactor) VALUES (42.195, 1, 8044, 'F', 27, 1);</t>
  </si>
  <si>
    <t>INSERT INTO tblWMA (WMADistance, WMARoad, WMAWRTime, WMASex, WMAAge, WMAFactor) VALUES (42.195, 1, 8044, 'F', 28, 1);</t>
  </si>
  <si>
    <t>INSERT INTO tblWMA (WMADistance, WMARoad, WMAWRTime, WMASex, WMAAge, WMAFactor) VALUES (42.195, 1, 8044, 'F', 29, 1);</t>
  </si>
  <si>
    <t>INSERT INTO tblWMA (WMADistance, WMARoad, WMAWRTime, WMASex, WMAAge, WMAFactor) VALUES (42.195, 1, 8044, 'F', 30, 1);</t>
  </si>
  <si>
    <t>INSERT INTO tblWMA (WMADistance, WMARoad, WMAWRTime, WMASex, WMAAge, WMAFactor) VALUES (42.195, 1, 8044, 'F', 31, 1);</t>
  </si>
  <si>
    <t>INSERT INTO tblWMA (WMADistance, WMARoad, WMAWRTime, WMASex, WMAAge, WMAFactor) VALUES (42.195, 1, 8044, 'F', 32, 0.9999);</t>
  </si>
  <si>
    <t>INSERT INTO tblWMA (WMADistance, WMARoad, WMAWRTime, WMASex, WMAAge, WMAFactor) VALUES (42.195, 1, 8044, 'F', 33, 0.9993);</t>
  </si>
  <si>
    <t>INSERT INTO tblWMA (WMADistance, WMARoad, WMAWRTime, WMASex, WMAAge, WMAFactor) VALUES (42.195, 1, 8044, 'F', 34, 0.9981);</t>
  </si>
  <si>
    <t>INSERT INTO tblWMA (WMADistance, WMARoad, WMAWRTime, WMASex, WMAAge, WMAFactor) VALUES (42.195, 1, 8044, 'F', 35, 0.9961);</t>
  </si>
  <si>
    <t>INSERT INTO tblWMA (WMADistance, WMARoad, WMAWRTime, WMASex, WMAAge, WMAFactor) VALUES (42.195, 1, 8044, 'F', 36, 0.9935);</t>
  </si>
  <si>
    <t>INSERT INTO tblWMA (WMADistance, WMARoad, WMAWRTime, WMASex, WMAAge, WMAFactor) VALUES (42.195, 1, 8044, 'F', 37, 0.9902);</t>
  </si>
  <si>
    <t>INSERT INTO tblWMA (WMADistance, WMARoad, WMAWRTime, WMASex, WMAAge, WMAFactor) VALUES (42.195, 1, 8044, 'F', 38, 0.9862);</t>
  </si>
  <si>
    <t>INSERT INTO tblWMA (WMADistance, WMARoad, WMAWRTime, WMASex, WMAAge, WMAFactor) VALUES (42.195, 1, 8044, 'F', 39, 0.9815);</t>
  </si>
  <si>
    <t>INSERT INTO tblWMA (WMADistance, WMARoad, WMAWRTime, WMASex, WMAAge, WMAFactor) VALUES (42.195, 1, 8044, 'F', 40, 0.9762);</t>
  </si>
  <si>
    <t>INSERT INTO tblWMA (WMADistance, WMARoad, WMAWRTime, WMASex, WMAAge, WMAFactor) VALUES (42.195, 1, 8044, 'F', 41, 0.9702);</t>
  </si>
  <si>
    <t>INSERT INTO tblWMA (WMADistance, WMARoad, WMAWRTime, WMASex, WMAAge, WMAFactor) VALUES (42.195, 1, 8044, 'F', 42, 0.9635);</t>
  </si>
  <si>
    <t>INSERT INTO tblWMA (WMADistance, WMARoad, WMAWRTime, WMASex, WMAAge, WMAFactor) VALUES (42.195, 1, 8044, 'F', 43, 0.9562);</t>
  </si>
  <si>
    <t>INSERT INTO tblWMA (WMADistance, WMARoad, WMAWRTime, WMASex, WMAAge, WMAFactor) VALUES (42.195, 1, 8044, 'F', 44, 0.9482);</t>
  </si>
  <si>
    <t>INSERT INTO tblWMA (WMADistance, WMARoad, WMAWRTime, WMASex, WMAAge, WMAFactor) VALUES (42.195, 1, 8044, 'F', 45, 0.9395);</t>
  </si>
  <si>
    <t>INSERT INTO tblWMA (WMADistance, WMARoad, WMAWRTime, WMASex, WMAAge, WMAFactor) VALUES (42.195, 1, 8044, 'F', 46, 0.9301);</t>
  </si>
  <si>
    <t>INSERT INTO tblWMA (WMADistance, WMARoad, WMAWRTime, WMASex, WMAAge, WMAFactor) VALUES (42.195, 1, 8044, 'F', 47, 0.92);</t>
  </si>
  <si>
    <t>INSERT INTO tblWMA (WMADistance, WMARoad, WMAWRTime, WMASex, WMAAge, WMAFactor) VALUES (42.195, 1, 8044, 'F', 48, 0.9093);</t>
  </si>
  <si>
    <t>INSERT INTO tblWMA (WMADistance, WMARoad, WMAWRTime, WMASex, WMAAge, WMAFactor) VALUES (42.195, 1, 8044, 'F', 49, 0.8982);</t>
  </si>
  <si>
    <t>INSERT INTO tblWMA (WMADistance, WMARoad, WMAWRTime, WMASex, WMAAge, WMAFactor) VALUES (42.195, 1, 8044, 'F', 50, 0.8872);</t>
  </si>
  <si>
    <t>INSERT INTO tblWMA (WMADistance, WMARoad, WMAWRTime, WMASex, WMAAge, WMAFactor) VALUES (42.195, 1, 8044, 'F', 51, 0.8761);</t>
  </si>
  <si>
    <t>INSERT INTO tblWMA (WMADistance, WMARoad, WMAWRTime, WMASex, WMAAge, WMAFactor) VALUES (42.195, 1, 8044, 'F', 52, 0.8651);</t>
  </si>
  <si>
    <t>INSERT INTO tblWMA (WMADistance, WMARoad, WMAWRTime, WMASex, WMAAge, WMAFactor) VALUES (42.195, 1, 8044, 'F', 53, 0.854);</t>
  </si>
  <si>
    <t>INSERT INTO tblWMA (WMADistance, WMARoad, WMAWRTime, WMASex, WMAAge, WMAFactor) VALUES (42.195, 1, 8044, 'F', 54, 0.8429);</t>
  </si>
  <si>
    <t>INSERT INTO tblWMA (WMADistance, WMARoad, WMAWRTime, WMASex, WMAAge, WMAFactor) VALUES (42.195, 1, 8044, 'F', 55, 0.8319);</t>
  </si>
  <si>
    <t>INSERT INTO tblWMA (WMADistance, WMARoad, WMAWRTime, WMASex, WMAAge, WMAFactor) VALUES (42.195, 1, 8044, 'F', 56, 0.8208);</t>
  </si>
  <si>
    <t>INSERT INTO tblWMA (WMADistance, WMARoad, WMAWRTime, WMASex, WMAAge, WMAFactor) VALUES (42.195, 1, 8044, 'F', 57, 0.8098);</t>
  </si>
  <si>
    <t>INSERT INTO tblWMA (WMADistance, WMARoad, WMAWRTime, WMASex, WMAAge, WMAFactor) VALUES (42.195, 1, 8044, 'F', 58, 0.7987);</t>
  </si>
  <si>
    <t>INSERT INTO tblWMA (WMADistance, WMARoad, WMAWRTime, WMASex, WMAAge, WMAFactor) VALUES (42.195, 1, 8044, 'F', 59, 0.7876);</t>
  </si>
  <si>
    <t>INSERT INTO tblWMA (WMADistance, WMARoad, WMAWRTime, WMASex, WMAAge, WMAFactor) VALUES (42.195, 1, 8044, 'F', 60, 0.7766);</t>
  </si>
  <si>
    <t>INSERT INTO tblWMA (WMADistance, WMARoad, WMAWRTime, WMASex, WMAAge, WMAFactor) VALUES (42.195, 1, 8044, 'F', 61, 0.7655);</t>
  </si>
  <si>
    <t>INSERT INTO tblWMA (WMADistance, WMARoad, WMAWRTime, WMASex, WMAAge, WMAFactor) VALUES (42.195, 1, 8044, 'F', 62, 0.7545);</t>
  </si>
  <si>
    <t>INSERT INTO tblWMA (WMADistance, WMARoad, WMAWRTime, WMASex, WMAAge, WMAFactor) VALUES (42.195, 1, 8044, 'F', 63, 0.7434);</t>
  </si>
  <si>
    <t>INSERT INTO tblWMA (WMADistance, WMARoad, WMAWRTime, WMASex, WMAAge, WMAFactor) VALUES (42.195, 1, 8044, 'F', 64, 0.7323);</t>
  </si>
  <si>
    <t>INSERT INTO tblWMA (WMADistance, WMARoad, WMAWRTime, WMASex, WMAAge, WMAFactor) VALUES (42.195, 1, 8044, 'F', 65, 0.7213);</t>
  </si>
  <si>
    <t>INSERT INTO tblWMA (WMADistance, WMARoad, WMAWRTime, WMASex, WMAAge, WMAFactor) VALUES (42.195, 1, 8044, 'F', 66, 0.7102);</t>
  </si>
  <si>
    <t>INSERT INTO tblWMA (WMADistance, WMARoad, WMAWRTime, WMASex, WMAAge, WMAFactor) VALUES (42.195, 1, 8044, 'F', 67, 0.6992);</t>
  </si>
  <si>
    <t>INSERT INTO tblWMA (WMADistance, WMARoad, WMAWRTime, WMASex, WMAAge, WMAFactor) VALUES (42.195, 1, 8044, 'F', 68, 0.6881);</t>
  </si>
  <si>
    <t>INSERT INTO tblWMA (WMADistance, WMARoad, WMAWRTime, WMASex, WMAAge, WMAFactor) VALUES (42.195, 1, 8044, 'F', 69, 0.677);</t>
  </si>
  <si>
    <t>INSERT INTO tblWMA (WMADistance, WMARoad, WMAWRTime, WMASex, WMAAge, WMAFactor) VALUES (42.195, 1, 8044, 'F', 70, 0.666);</t>
  </si>
  <si>
    <t>INSERT INTO tblWMA (WMADistance, WMARoad, WMAWRTime, WMASex, WMAAge, WMAFactor) VALUES (42.195, 1, 8044, 'F', 71, 0.6549);</t>
  </si>
  <si>
    <t>INSERT INTO tblWMA (WMADistance, WMARoad, WMAWRTime, WMASex, WMAAge, WMAFactor) VALUES (42.195, 1, 8044, 'F', 72, 0.6439);</t>
  </si>
  <si>
    <t>INSERT INTO tblWMA (WMADistance, WMARoad, WMAWRTime, WMASex, WMAAge, WMAFactor) VALUES (42.195, 1, 8044, 'F', 73, 0.6328);</t>
  </si>
  <si>
    <t>INSERT INTO tblWMA (WMADistance, WMARoad, WMAWRTime, WMASex, WMAAge, WMAFactor) VALUES (42.195, 1, 8044, 'F', 74, 0.6217);</t>
  </si>
  <si>
    <t>INSERT INTO tblWMA (WMADistance, WMARoad, WMAWRTime, WMASex, WMAAge, WMAFactor) VALUES (42.195, 1, 8044, 'F', 75, 0.6103);</t>
  </si>
  <si>
    <t>INSERT INTO tblWMA (WMADistance, WMARoad, WMAWRTime, WMASex, WMAAge, WMAFactor) VALUES (42.195, 1, 8044, 'F', 76, 0.598);</t>
  </si>
  <si>
    <t>INSERT INTO tblWMA (WMADistance, WMARoad, WMAWRTime, WMASex, WMAAge, WMAFactor) VALUES (42.195, 1, 8044, 'F', 77, 0.585);</t>
  </si>
  <si>
    <t>INSERT INTO tblWMA (WMADistance, WMARoad, WMAWRTime, WMASex, WMAAge, WMAFactor) VALUES (42.195, 1, 8044, 'F', 78, 0.5711);</t>
  </si>
  <si>
    <t>INSERT INTO tblWMA (WMADistance, WMARoad, WMAWRTime, WMASex, WMAAge, WMAFactor) VALUES (42.195, 1, 8044, 'F', 79, 0.5564);</t>
  </si>
  <si>
    <t>INSERT INTO tblWMA (WMADistance, WMARoad, WMAWRTime, WMASex, WMAAge, WMAFactor) VALUES (42.195, 1, 8044, 'F', 80, 0.541);</t>
  </si>
  <si>
    <t>INSERT INTO tblWMA (WMADistance, WMARoad, WMAWRTime, WMASex, WMAAge, WMAFactor) VALUES (42.195, 1, 8044, 'F', 81, 0.5247);</t>
  </si>
  <si>
    <t>INSERT INTO tblWMA (WMADistance, WMARoad, WMAWRTime, WMASex, WMAAge, WMAFactor) VALUES (42.195, 1, 8044, 'F', 82, 0.5077);</t>
  </si>
  <si>
    <t>INSERT INTO tblWMA (WMADistance, WMARoad, WMAWRTime, WMASex, WMAAge, WMAFactor) VALUES (42.195, 1, 8044, 'F', 83, 0.4898);</t>
  </si>
  <si>
    <t>INSERT INTO tblWMA (WMADistance, WMARoad, WMAWRTime, WMASex, WMAAge, WMAFactor) VALUES (42.195, 1, 8044, 'F', 84, 0.4711);</t>
  </si>
  <si>
    <t>INSERT INTO tblWMA (WMADistance, WMARoad, WMAWRTime, WMASex, WMAAge, WMAFactor) VALUES (42.195, 1, 8044, 'F', 85, 0.4517);</t>
  </si>
  <si>
    <t>INSERT INTO tblWMA (WMADistance, WMARoad, WMAWRTime, WMASex, WMAAge, WMAFactor) VALUES (42.195, 1, 8044, 'F', 86, 0.4314);</t>
  </si>
  <si>
    <t>INSERT INTO tblWMA (WMADistance, WMARoad, WMAWRTime, WMASex, WMAAge, WMAFactor) VALUES (42.195, 1, 8044, 'F', 87, 0.4104);</t>
  </si>
  <si>
    <t>INSERT INTO tblWMA (WMADistance, WMARoad, WMAWRTime, WMASex, WMAAge, WMAFactor) VALUES (42.195, 1, 8044, 'F', 88, 0.3885);</t>
  </si>
  <si>
    <t>INSERT INTO tblWMA (WMADistance, WMARoad, WMAWRTime, WMASex, WMAAge, WMAFactor) VALUES (42.195, 1, 8044, 'F', 89, 0.3658);</t>
  </si>
  <si>
    <t>INSERT INTO tblWMA (WMADistance, WMARoad, WMAWRTime, WMASex, WMAAge, WMAFactor) VALUES (42.195, 1, 8044, 'F', 90, 0.3424);</t>
  </si>
  <si>
    <t>INSERT INTO tblWMA (WMADistance, WMARoad, WMAWRTime, WMASex, WMAAge, WMAFactor) VALUES (42.195, 1, 8044, 'F', 91, 0.3181);</t>
  </si>
  <si>
    <t>INSERT INTO tblWMA (WMADistance, WMARoad, WMAWRTime, WMASex, WMAAge, WMAFactor) VALUES (42.195, 1, 8044, 'F', 92, 0.2931);</t>
  </si>
  <si>
    <t>INSERT INTO tblWMA (WMADistance, WMARoad, WMAWRTime, WMASex, WMAAge, WMAFactor) VALUES (42.195, 1, 8044, 'F', 93, 0.2672);</t>
  </si>
  <si>
    <t>INSERT INTO tblWMA (WMADistance, WMARoad, WMAWRTime, WMASex, WMAAge, WMAFactor) VALUES (42.195, 1, 8044, 'F', 94, 0.2405);</t>
  </si>
  <si>
    <t>INSERT INTO tblWMA (WMADistance, WMARoad, WMAWRTime, WMASex, WMAAge, WMAFactor) VALUES (42.195, 1, 8044, 'F', 95, 0.2131);</t>
  </si>
  <si>
    <t>INSERT INTO tblWMA (WMADistance, WMARoad, WMAWRTime, WMASex, WMAAge, WMAFactor) VALUES (42.195, 1, 8044, 'F', 96, 0.1848);</t>
  </si>
  <si>
    <t>INSERT INTO tblWMA (WMADistance, WMARoad, WMAWRTime, WMASex, WMAAge, WMAFactor) VALUES (42.195, 1, 8044, 'F', 97, 0.1558);</t>
  </si>
  <si>
    <t>INSERT INTO tblWMA (WMADistance, WMARoad, WMAWRTime, WMASex, WMAAge, WMAFactor) VALUES (42.195, 1, 8044, 'F', 98, 0.1259);</t>
  </si>
  <si>
    <t>INSERT INTO tblWMA (WMADistance, WMARoad, WMAWRTime, WMASex, WMAAge, WMAFactor) VALUES (42.195, 1, 8044, 'F', 99, 0.0952);</t>
  </si>
  <si>
    <t>INSERT INTO tblWMA (WMADistance, WMARoad, WMAWRTime, WMASex, WMAAge, WMAFactor) VALUES (42.195, 1, 8044, 'F', 100, 0.0638);</t>
  </si>
  <si>
    <t>INSERT INTO tblWMA (WMADistance, WMARoad, WMAWRTime, WMASex, WMAAge, WMAFactor) VALUES (50, 1, 9780, 'F', 5, 0.677);</t>
  </si>
  <si>
    <t>INSERT INTO tblWMA (WMADistance, WMARoad, WMAWRTime, WMASex, WMAAge, WMAFactor) VALUES (50, 1, 9780, 'F', 6, 0.7103);</t>
  </si>
  <si>
    <t>INSERT INTO tblWMA (WMADistance, WMARoad, WMAWRTime, WMASex, WMAAge, WMAFactor) VALUES (50, 1, 9780, 'F', 7, 0.7418);</t>
  </si>
  <si>
    <t>INSERT INTO tblWMA (WMADistance, WMARoad, WMAWRTime, WMASex, WMAAge, WMAFactor) VALUES (50, 1, 9780, 'F', 8, 0.7714);</t>
  </si>
  <si>
    <t>INSERT INTO tblWMA (WMADistance, WMARoad, WMAWRTime, WMASex, WMAAge, WMAFactor) VALUES (50, 1, 9780, 'F', 9, 0.7992);</t>
  </si>
  <si>
    <t>INSERT INTO tblWMA (WMADistance, WMARoad, WMAWRTime, WMASex, WMAAge, WMAFactor) VALUES (50, 1, 9780, 'F', 10, 0.8253);</t>
  </si>
  <si>
    <t>INSERT INTO tblWMA (WMADistance, WMARoad, WMAWRTime, WMASex, WMAAge, WMAFactor) VALUES (50, 1, 9780, 'F', 11, 0.8494);</t>
  </si>
  <si>
    <t>INSERT INTO tblWMA (WMADistance, WMARoad, WMAWRTime, WMASex, WMAAge, WMAFactor) VALUES (50, 1, 9780, 'F', 12, 0.8718);</t>
  </si>
  <si>
    <t>INSERT INTO tblWMA (WMADistance, WMARoad, WMAWRTime, WMASex, WMAAge, WMAFactor) VALUES (50, 1, 9780, 'F', 13, 0.8924);</t>
  </si>
  <si>
    <t>INSERT INTO tblWMA (WMADistance, WMARoad, WMAWRTime, WMASex, WMAAge, WMAFactor) VALUES (50, 1, 9780, 'F', 14, 0.9111);</t>
  </si>
  <si>
    <t>INSERT INTO tblWMA (WMADistance, WMARoad, WMAWRTime, WMASex, WMAAge, WMAFactor) VALUES (50, 1, 9780, 'F', 15, 0.928);</t>
  </si>
  <si>
    <t>INSERT INTO tblWMA (WMADistance, WMARoad, WMAWRTime, WMASex, WMAAge, WMAFactor) VALUES (50, 1, 9780, 'F', 16, 0.944);</t>
  </si>
  <si>
    <t>INSERT INTO tblWMA (WMADistance, WMARoad, WMAWRTime, WMASex, WMAAge, WMAFactor) VALUES (50, 1, 9780, 'F', 17, 0.96);</t>
  </si>
  <si>
    <t>INSERT INTO tblWMA (WMADistance, WMARoad, WMAWRTime, WMASex, WMAAge, WMAFactor) VALUES (50, 1, 9780, 'F', 18, 0.9744);</t>
  </si>
  <si>
    <t>INSERT INTO tblWMA (WMADistance, WMARoad, WMAWRTime, WMASex, WMAAge, WMAFactor) VALUES (50, 1, 9780, 'F', 19, 0.9856);</t>
  </si>
  <si>
    <t>INSERT INTO tblWMA (WMADistance, WMARoad, WMAWRTime, WMASex, WMAAge, WMAFactor) VALUES (50, 1, 9780, 'F', 20, 0.9936);</t>
  </si>
  <si>
    <t>INSERT INTO tblWMA (WMADistance, WMARoad, WMAWRTime, WMASex, WMAAge, WMAFactor) VALUES (50, 1, 9780, 'F', 21, 0.9984);</t>
  </si>
  <si>
    <t>INSERT INTO tblWMA (WMADistance, WMARoad, WMAWRTime, WMASex, WMAAge, WMAFactor) VALUES (50, 1, 9780, 'F', 22, 1);</t>
  </si>
  <si>
    <t>INSERT INTO tblWMA (WMADistance, WMARoad, WMAWRTime, WMASex, WMAAge, WMAFactor) VALUES (50, 1, 9780, 'F', 23, 1);</t>
  </si>
  <si>
    <t>INSERT INTO tblWMA (WMADistance, WMARoad, WMAWRTime, WMASex, WMAAge, WMAFactor) VALUES (50, 1, 9780, 'F', 24, 1);</t>
  </si>
  <si>
    <t>INSERT INTO tblWMA (WMADistance, WMARoad, WMAWRTime, WMASex, WMAAge, WMAFactor) VALUES (50, 1, 9780, 'F', 25, 1);</t>
  </si>
  <si>
    <t>INSERT INTO tblWMA (WMADistance, WMARoad, WMAWRTime, WMASex, WMAAge, WMAFactor) VALUES (50, 1, 9780, 'F', 26, 1);</t>
  </si>
  <si>
    <t>INSERT INTO tblWMA (WMADistance, WMARoad, WMAWRTime, WMASex, WMAAge, WMAFactor) VALUES (50, 1, 9780, 'F', 27, 1);</t>
  </si>
  <si>
    <t>INSERT INTO tblWMA (WMADistance, WMARoad, WMAWRTime, WMASex, WMAAge, WMAFactor) VALUES (50, 1, 9780, 'F', 28, 1);</t>
  </si>
  <si>
    <t>INSERT INTO tblWMA (WMADistance, WMARoad, WMAWRTime, WMASex, WMAAge, WMAFactor) VALUES (50, 1, 9780, 'F', 29, 1);</t>
  </si>
  <si>
    <t>INSERT INTO tblWMA (WMADistance, WMARoad, WMAWRTime, WMASex, WMAAge, WMAFactor) VALUES (50, 1, 9780, 'F', 30, 1);</t>
  </si>
  <si>
    <t>INSERT INTO tblWMA (WMADistance, WMARoad, WMAWRTime, WMASex, WMAAge, WMAFactor) VALUES (50, 1, 9780, 'F', 31, 1);</t>
  </si>
  <si>
    <t>INSERT INTO tblWMA (WMADistance, WMARoad, WMAWRTime, WMASex, WMAAge, WMAFactor) VALUES (50, 1, 9780, 'F', 32, 0.9999);</t>
  </si>
  <si>
    <t>INSERT INTO tblWMA (WMADistance, WMARoad, WMAWRTime, WMASex, WMAAge, WMAFactor) VALUES (50, 1, 9780, 'F', 33, 0.9993);</t>
  </si>
  <si>
    <t>INSERT INTO tblWMA (WMADistance, WMARoad, WMAWRTime, WMASex, WMAAge, WMAFactor) VALUES (50, 1, 9780, 'F', 34, 0.9981);</t>
  </si>
  <si>
    <t>INSERT INTO tblWMA (WMADistance, WMARoad, WMAWRTime, WMASex, WMAAge, WMAFactor) VALUES (50, 1, 9780, 'F', 35, 0.9961);</t>
  </si>
  <si>
    <t>INSERT INTO tblWMA (WMADistance, WMARoad, WMAWRTime, WMASex, WMAAge, WMAFactor) VALUES (50, 1, 9780, 'F', 36, 0.9935);</t>
  </si>
  <si>
    <t>INSERT INTO tblWMA (WMADistance, WMARoad, WMAWRTime, WMASex, WMAAge, WMAFactor) VALUES (50, 1, 9780, 'F', 37, 0.9902);</t>
  </si>
  <si>
    <t>INSERT INTO tblWMA (WMADistance, WMARoad, WMAWRTime, WMASex, WMAAge, WMAFactor) VALUES (50, 1, 9780, 'F', 38, 0.9862);</t>
  </si>
  <si>
    <t>INSERT INTO tblWMA (WMADistance, WMARoad, WMAWRTime, WMASex, WMAAge, WMAFactor) VALUES (50, 1, 9780, 'F', 39, 0.9815);</t>
  </si>
  <si>
    <t>INSERT INTO tblWMA (WMADistance, WMARoad, WMAWRTime, WMASex, WMAAge, WMAFactor) VALUES (50, 1, 9780, 'F', 40, 0.9762);</t>
  </si>
  <si>
    <t>INSERT INTO tblWMA (WMADistance, WMARoad, WMAWRTime, WMASex, WMAAge, WMAFactor) VALUES (50, 1, 9780, 'F', 41, 0.9702);</t>
  </si>
  <si>
    <t>INSERT INTO tblWMA (WMADistance, WMARoad, WMAWRTime, WMASex, WMAAge, WMAFactor) VALUES (50, 1, 9780, 'F', 42, 0.9635);</t>
  </si>
  <si>
    <t>INSERT INTO tblWMA (WMADistance, WMARoad, WMAWRTime, WMASex, WMAAge, WMAFactor) VALUES (50, 1, 9780, 'F', 43, 0.9562);</t>
  </si>
  <si>
    <t>INSERT INTO tblWMA (WMADistance, WMARoad, WMAWRTime, WMASex, WMAAge, WMAFactor) VALUES (50, 1, 9780, 'F', 44, 0.9482);</t>
  </si>
  <si>
    <t>INSERT INTO tblWMA (WMADistance, WMARoad, WMAWRTime, WMASex, WMAAge, WMAFactor) VALUES (50, 1, 9780, 'F', 45, 0.9395);</t>
  </si>
  <si>
    <t>INSERT INTO tblWMA (WMADistance, WMARoad, WMAWRTime, WMASex, WMAAge, WMAFactor) VALUES (50, 1, 9780, 'F', 46, 0.9301);</t>
  </si>
  <si>
    <t>INSERT INTO tblWMA (WMADistance, WMARoad, WMAWRTime, WMASex, WMAAge, WMAFactor) VALUES (50, 1, 9780, 'F', 47, 0.92);</t>
  </si>
  <si>
    <t>INSERT INTO tblWMA (WMADistance, WMARoad, WMAWRTime, WMASex, WMAAge, WMAFactor) VALUES (50, 1, 9780, 'F', 48, 0.9093);</t>
  </si>
  <si>
    <t>INSERT INTO tblWMA (WMADistance, WMARoad, WMAWRTime, WMASex, WMAAge, WMAFactor) VALUES (50, 1, 9780, 'F', 49, 0.8982);</t>
  </si>
  <si>
    <t>INSERT INTO tblWMA (WMADistance, WMARoad, WMAWRTime, WMASex, WMAAge, WMAFactor) VALUES (50, 1, 9780, 'F', 50, 0.8872);</t>
  </si>
  <si>
    <t>INSERT INTO tblWMA (WMADistance, WMARoad, WMAWRTime, WMASex, WMAAge, WMAFactor) VALUES (50, 1, 9780, 'F', 51, 0.8761);</t>
  </si>
  <si>
    <t>INSERT INTO tblWMA (WMADistance, WMARoad, WMAWRTime, WMASex, WMAAge, WMAFactor) VALUES (50, 1, 9780, 'F', 52, 0.8651);</t>
  </si>
  <si>
    <t>INSERT INTO tblWMA (WMADistance, WMARoad, WMAWRTime, WMASex, WMAAge, WMAFactor) VALUES (50, 1, 9780, 'F', 53, 0.854);</t>
  </si>
  <si>
    <t>INSERT INTO tblWMA (WMADistance, WMARoad, WMAWRTime, WMASex, WMAAge, WMAFactor) VALUES (50, 1, 9780, 'F', 54, 0.8429);</t>
  </si>
  <si>
    <t>INSERT INTO tblWMA (WMADistance, WMARoad, WMAWRTime, WMASex, WMAAge, WMAFactor) VALUES (50, 1, 9780, 'F', 55, 0.8319);</t>
  </si>
  <si>
    <t>INSERT INTO tblWMA (WMADistance, WMARoad, WMAWRTime, WMASex, WMAAge, WMAFactor) VALUES (50, 1, 9780, 'F', 56, 0.8208);</t>
  </si>
  <si>
    <t>INSERT INTO tblWMA (WMADistance, WMARoad, WMAWRTime, WMASex, WMAAge, WMAFactor) VALUES (50, 1, 9780, 'F', 57, 0.8098);</t>
  </si>
  <si>
    <t>INSERT INTO tblWMA (WMADistance, WMARoad, WMAWRTime, WMASex, WMAAge, WMAFactor) VALUES (50, 1, 9780, 'F', 58, 0.7987);</t>
  </si>
  <si>
    <t>INSERT INTO tblWMA (WMADistance, WMARoad, WMAWRTime, WMASex, WMAAge, WMAFactor) VALUES (50, 1, 9780, 'F', 59, 0.7876);</t>
  </si>
  <si>
    <t>INSERT INTO tblWMA (WMADistance, WMARoad, WMAWRTime, WMASex, WMAAge, WMAFactor) VALUES (50, 1, 9780, 'F', 60, 0.7766);</t>
  </si>
  <si>
    <t>INSERT INTO tblWMA (WMADistance, WMARoad, WMAWRTime, WMASex, WMAAge, WMAFactor) VALUES (50, 1, 9780, 'F', 61, 0.7655);</t>
  </si>
  <si>
    <t>INSERT INTO tblWMA (WMADistance, WMARoad, WMAWRTime, WMASex, WMAAge, WMAFactor) VALUES (50, 1, 9780, 'F', 62, 0.7545);</t>
  </si>
  <si>
    <t>INSERT INTO tblWMA (WMADistance, WMARoad, WMAWRTime, WMASex, WMAAge, WMAFactor) VALUES (50, 1, 9780, 'F', 63, 0.7434);</t>
  </si>
  <si>
    <t>INSERT INTO tblWMA (WMADistance, WMARoad, WMAWRTime, WMASex, WMAAge, WMAFactor) VALUES (50, 1, 9780, 'F', 64, 0.7323);</t>
  </si>
  <si>
    <t>INSERT INTO tblWMA (WMADistance, WMARoad, WMAWRTime, WMASex, WMAAge, WMAFactor) VALUES (50, 1, 9780, 'F', 65, 0.7213);</t>
  </si>
  <si>
    <t>INSERT INTO tblWMA (WMADistance, WMARoad, WMAWRTime, WMASex, WMAAge, WMAFactor) VALUES (50, 1, 9780, 'F', 66, 0.7102);</t>
  </si>
  <si>
    <t>INSERT INTO tblWMA (WMADistance, WMARoad, WMAWRTime, WMASex, WMAAge, WMAFactor) VALUES (50, 1, 9780, 'F', 67, 0.6992);</t>
  </si>
  <si>
    <t>INSERT INTO tblWMA (WMADistance, WMARoad, WMAWRTime, WMASex, WMAAge, WMAFactor) VALUES (50, 1, 9780, 'F', 68, 0.6881);</t>
  </si>
  <si>
    <t>INSERT INTO tblWMA (WMADistance, WMARoad, WMAWRTime, WMASex, WMAAge, WMAFactor) VALUES (50, 1, 9780, 'F', 69, 0.677);</t>
  </si>
  <si>
    <t>INSERT INTO tblWMA (WMADistance, WMARoad, WMAWRTime, WMASex, WMAAge, WMAFactor) VALUES (50, 1, 9780, 'F', 70, 0.666);</t>
  </si>
  <si>
    <t>INSERT INTO tblWMA (WMADistance, WMARoad, WMAWRTime, WMASex, WMAAge, WMAFactor) VALUES (50, 1, 9780, 'F', 71, 0.6549);</t>
  </si>
  <si>
    <t>INSERT INTO tblWMA (WMADistance, WMARoad, WMAWRTime, WMASex, WMAAge, WMAFactor) VALUES (50, 1, 9780, 'F', 72, 0.6439);</t>
  </si>
  <si>
    <t>INSERT INTO tblWMA (WMADistance, WMARoad, WMAWRTime, WMASex, WMAAge, WMAFactor) VALUES (50, 1, 9780, 'F', 73, 0.6328);</t>
  </si>
  <si>
    <t>INSERT INTO tblWMA (WMADistance, WMARoad, WMAWRTime, WMASex, WMAAge, WMAFactor) VALUES (50, 1, 9780, 'F', 74, 0.6217);</t>
  </si>
  <si>
    <t>INSERT INTO tblWMA (WMADistance, WMARoad, WMAWRTime, WMASex, WMAAge, WMAFactor) VALUES (50, 1, 9780, 'F', 75, 0.6103);</t>
  </si>
  <si>
    <t>INSERT INTO tblWMA (WMADistance, WMARoad, WMAWRTime, WMASex, WMAAge, WMAFactor) VALUES (50, 1, 9780, 'F', 76, 0.598);</t>
  </si>
  <si>
    <t>INSERT INTO tblWMA (WMADistance, WMARoad, WMAWRTime, WMASex, WMAAge, WMAFactor) VALUES (50, 1, 9780, 'F', 77, 0.585);</t>
  </si>
  <si>
    <t>INSERT INTO tblWMA (WMADistance, WMARoad, WMAWRTime, WMASex, WMAAge, WMAFactor) VALUES (50, 1, 9780, 'F', 78, 0.5711);</t>
  </si>
  <si>
    <t>INSERT INTO tblWMA (WMADistance, WMARoad, WMAWRTime, WMASex, WMAAge, WMAFactor) VALUES (50, 1, 9780, 'F', 79, 0.5564);</t>
  </si>
  <si>
    <t>INSERT INTO tblWMA (WMADistance, WMARoad, WMAWRTime, WMASex, WMAAge, WMAFactor) VALUES (50, 1, 9780, 'F', 80, 0.541);</t>
  </si>
  <si>
    <t>INSERT INTO tblWMA (WMADistance, WMARoad, WMAWRTime, WMASex, WMAAge, WMAFactor) VALUES (50, 1, 9780, 'F', 81, 0.5247);</t>
  </si>
  <si>
    <t>INSERT INTO tblWMA (WMADistance, WMARoad, WMAWRTime, WMASex, WMAAge, WMAFactor) VALUES (50, 1, 9780, 'F', 82, 0.5077);</t>
  </si>
  <si>
    <t>INSERT INTO tblWMA (WMADistance, WMARoad, WMAWRTime, WMASex, WMAAge, WMAFactor) VALUES (50, 1, 9780, 'F', 83, 0.4898);</t>
  </si>
  <si>
    <t>INSERT INTO tblWMA (WMADistance, WMARoad, WMAWRTime, WMASex, WMAAge, WMAFactor) VALUES (50, 1, 9780, 'F', 84, 0.4711);</t>
  </si>
  <si>
    <t>INSERT INTO tblWMA (WMADistance, WMARoad, WMAWRTime, WMASex, WMAAge, WMAFactor) VALUES (50, 1, 9780, 'F', 85, 0.4517);</t>
  </si>
  <si>
    <t>INSERT INTO tblWMA (WMADistance, WMARoad, WMAWRTime, WMASex, WMAAge, WMAFactor) VALUES (50, 1, 9780, 'F', 86, 0.4314);</t>
  </si>
  <si>
    <t>INSERT INTO tblWMA (WMADistance, WMARoad, WMAWRTime, WMASex, WMAAge, WMAFactor) VALUES (50, 1, 9780, 'F', 87, 0.4104);</t>
  </si>
  <si>
    <t>INSERT INTO tblWMA (WMADistance, WMARoad, WMAWRTime, WMASex, WMAAge, WMAFactor) VALUES (50, 1, 9780, 'F', 88, 0.3885);</t>
  </si>
  <si>
    <t>INSERT INTO tblWMA (WMADistance, WMARoad, WMAWRTime, WMASex, WMAAge, WMAFactor) VALUES (50, 1, 9780, 'F', 89, 0.3658);</t>
  </si>
  <si>
    <t>INSERT INTO tblWMA (WMADistance, WMARoad, WMAWRTime, WMASex, WMAAge, WMAFactor) VALUES (50, 1, 9780, 'F', 90, 0.3424);</t>
  </si>
  <si>
    <t>INSERT INTO tblWMA (WMADistance, WMARoad, WMAWRTime, WMASex, WMAAge, WMAFactor) VALUES (50, 1, 9780, 'F', 91, 0.3181);</t>
  </si>
  <si>
    <t>INSERT INTO tblWMA (WMADistance, WMARoad, WMAWRTime, WMASex, WMAAge, WMAFactor) VALUES (50, 1, 9780, 'F', 92, 0.2931);</t>
  </si>
  <si>
    <t>INSERT INTO tblWMA (WMADistance, WMARoad, WMAWRTime, WMASex, WMAAge, WMAFactor) VALUES (50, 1, 9780, 'F', 93, 0.2672);</t>
  </si>
  <si>
    <t>INSERT INTO tblWMA (WMADistance, WMARoad, WMAWRTime, WMASex, WMAAge, WMAFactor) VALUES (50, 1, 9780, 'F', 94, 0.2405);</t>
  </si>
  <si>
    <t>INSERT INTO tblWMA (WMADistance, WMARoad, WMAWRTime, WMASex, WMAAge, WMAFactor) VALUES (50, 1, 9780, 'F', 95, 0.2131);</t>
  </si>
  <si>
    <t>INSERT INTO tblWMA (WMADistance, WMARoad, WMAWRTime, WMASex, WMAAge, WMAFactor) VALUES (50, 1, 9780, 'F', 96, 0.1848);</t>
  </si>
  <si>
    <t>INSERT INTO tblWMA (WMADistance, WMARoad, WMAWRTime, WMASex, WMAAge, WMAFactor) VALUES (50, 1, 9780, 'F', 97, 0.1558);</t>
  </si>
  <si>
    <t>INSERT INTO tblWMA (WMADistance, WMARoad, WMAWRTime, WMASex, WMAAge, WMAFactor) VALUES (50, 1, 9780, 'F', 98, 0.1259);</t>
  </si>
  <si>
    <t>INSERT INTO tblWMA (WMADistance, WMARoad, WMAWRTime, WMASex, WMAAge, WMAFactor) VALUES (50, 1, 9780, 'F', 99, 0.0952);</t>
  </si>
  <si>
    <t>INSERT INTO tblWMA (WMADistance, WMARoad, WMAWRTime, WMASex, WMAAge, WMAFactor) VALUES (50, 1, 9780, 'F', 100, 0.0638);</t>
  </si>
  <si>
    <t>INSERT INTO tblWMA (WMADistance, WMARoad, WMAWRTime, WMASex, WMAAge, WMAFactor) VALUES (80.467, 1, 17760, 'F', 5, 0.677);</t>
  </si>
  <si>
    <t>INSERT INTO tblWMA (WMADistance, WMARoad, WMAWRTime, WMASex, WMAAge, WMAFactor) VALUES (80.467, 1, 17760, 'F', 6, 0.7103);</t>
  </si>
  <si>
    <t>INSERT INTO tblWMA (WMADistance, WMARoad, WMAWRTime, WMASex, WMAAge, WMAFactor) VALUES (80.467, 1, 17760, 'F', 7, 0.7418);</t>
  </si>
  <si>
    <t>INSERT INTO tblWMA (WMADistance, WMARoad, WMAWRTime, WMASex, WMAAge, WMAFactor) VALUES (80.467, 1, 17760, 'F', 8, 0.7714);</t>
  </si>
  <si>
    <t>INSERT INTO tblWMA (WMADistance, WMARoad, WMAWRTime, WMASex, WMAAge, WMAFactor) VALUES (80.467, 1, 17760, 'F', 9, 0.7992);</t>
  </si>
  <si>
    <t>INSERT INTO tblWMA (WMADistance, WMARoad, WMAWRTime, WMASex, WMAAge, WMAFactor) VALUES (80.467, 1, 17760, 'F', 10, 0.8253);</t>
  </si>
  <si>
    <t>INSERT INTO tblWMA (WMADistance, WMARoad, WMAWRTime, WMASex, WMAAge, WMAFactor) VALUES (80.467, 1, 17760, 'F', 11, 0.8494);</t>
  </si>
  <si>
    <t>INSERT INTO tblWMA (WMADistance, WMARoad, WMAWRTime, WMASex, WMAAge, WMAFactor) VALUES (80.467, 1, 17760, 'F', 12, 0.8718);</t>
  </si>
  <si>
    <t>INSERT INTO tblWMA (WMADistance, WMARoad, WMAWRTime, WMASex, WMAAge, WMAFactor) VALUES (80.467, 1, 17760, 'F', 13, 0.8924);</t>
  </si>
  <si>
    <t>INSERT INTO tblWMA (WMADistance, WMARoad, WMAWRTime, WMASex, WMAAge, WMAFactor) VALUES (80.467, 1, 17760, 'F', 14, 0.9111);</t>
  </si>
  <si>
    <t>INSERT INTO tblWMA (WMADistance, WMARoad, WMAWRTime, WMASex, WMAAge, WMAFactor) VALUES (80.467, 1, 17760, 'F', 15, 0.928);</t>
  </si>
  <si>
    <t>INSERT INTO tblWMA (WMADistance, WMARoad, WMAWRTime, WMASex, WMAAge, WMAFactor) VALUES (80.467, 1, 17760, 'F', 16, 0.944);</t>
  </si>
  <si>
    <t>INSERT INTO tblWMA (WMADistance, WMARoad, WMAWRTime, WMASex, WMAAge, WMAFactor) VALUES (80.467, 1, 17760, 'F', 17, 0.96);</t>
  </si>
  <si>
    <t>INSERT INTO tblWMA (WMADistance, WMARoad, WMAWRTime, WMASex, WMAAge, WMAFactor) VALUES (80.467, 1, 17760, 'F', 18, 0.9744);</t>
  </si>
  <si>
    <t>INSERT INTO tblWMA (WMADistance, WMARoad, WMAWRTime, WMASex, WMAAge, WMAFactor) VALUES (80.467, 1, 17760, 'F', 19, 0.9856);</t>
  </si>
  <si>
    <t>INSERT INTO tblWMA (WMADistance, WMARoad, WMAWRTime, WMASex, WMAAge, WMAFactor) VALUES (80.467, 1, 17760, 'F', 20, 0.9936);</t>
  </si>
  <si>
    <t>INSERT INTO tblWMA (WMADistance, WMARoad, WMAWRTime, WMASex, WMAAge, WMAFactor) VALUES (80.467, 1, 17760, 'F', 21, 0.9984);</t>
  </si>
  <si>
    <t>INSERT INTO tblWMA (WMADistance, WMARoad, WMAWRTime, WMASex, WMAAge, WMAFactor) VALUES (80.467, 1, 17760, 'F', 22, 1);</t>
  </si>
  <si>
    <t>INSERT INTO tblWMA (WMADistance, WMARoad, WMAWRTime, WMASex, WMAAge, WMAFactor) VALUES (80.467, 1, 17760, 'F', 23, 1);</t>
  </si>
  <si>
    <t>INSERT INTO tblWMA (WMADistance, WMARoad, WMAWRTime, WMASex, WMAAge, WMAFactor) VALUES (80.467, 1, 17760, 'F', 24, 1);</t>
  </si>
  <si>
    <t>INSERT INTO tblWMA (WMADistance, WMARoad, WMAWRTime, WMASex, WMAAge, WMAFactor) VALUES (80.467, 1, 17760, 'F', 25, 1);</t>
  </si>
  <si>
    <t>INSERT INTO tblWMA (WMADistance, WMARoad, WMAWRTime, WMASex, WMAAge, WMAFactor) VALUES (80.467, 1, 17760, 'F', 26, 1);</t>
  </si>
  <si>
    <t>INSERT INTO tblWMA (WMADistance, WMARoad, WMAWRTime, WMASex, WMAAge, WMAFactor) VALUES (80.467, 1, 17760, 'F', 27, 1);</t>
  </si>
  <si>
    <t>INSERT INTO tblWMA (WMADistance, WMARoad, WMAWRTime, WMASex, WMAAge, WMAFactor) VALUES (80.467, 1, 17760, 'F', 28, 1);</t>
  </si>
  <si>
    <t>INSERT INTO tblWMA (WMADistance, WMARoad, WMAWRTime, WMASex, WMAAge, WMAFactor) VALUES (80.467, 1, 17760, 'F', 29, 1);</t>
  </si>
  <si>
    <t>INSERT INTO tblWMA (WMADistance, WMARoad, WMAWRTime, WMASex, WMAAge, WMAFactor) VALUES (80.467, 1, 17760, 'F', 30, 1);</t>
  </si>
  <si>
    <t>INSERT INTO tblWMA (WMADistance, WMARoad, WMAWRTime, WMASex, WMAAge, WMAFactor) VALUES (80.467, 1, 17760, 'F', 31, 1);</t>
  </si>
  <si>
    <t>INSERT INTO tblWMA (WMADistance, WMARoad, WMAWRTime, WMASex, WMAAge, WMAFactor) VALUES (80.467, 1, 17760, 'F', 32, 0.9999);</t>
  </si>
  <si>
    <t>INSERT INTO tblWMA (WMADistance, WMARoad, WMAWRTime, WMASex, WMAAge, WMAFactor) VALUES (80.467, 1, 17760, 'F', 33, 0.9993);</t>
  </si>
  <si>
    <t>INSERT INTO tblWMA (WMADistance, WMARoad, WMAWRTime, WMASex, WMAAge, WMAFactor) VALUES (80.467, 1, 17760, 'F', 34, 0.9981);</t>
  </si>
  <si>
    <t>INSERT INTO tblWMA (WMADistance, WMARoad, WMAWRTime, WMASex, WMAAge, WMAFactor) VALUES (80.467, 1, 17760, 'F', 35, 0.9961);</t>
  </si>
  <si>
    <t>INSERT INTO tblWMA (WMADistance, WMARoad, WMAWRTime, WMASex, WMAAge, WMAFactor) VALUES (80.467, 1, 17760, 'F', 36, 0.9935);</t>
  </si>
  <si>
    <t>INSERT INTO tblWMA (WMADistance, WMARoad, WMAWRTime, WMASex, WMAAge, WMAFactor) VALUES (80.467, 1, 17760, 'F', 37, 0.9902);</t>
  </si>
  <si>
    <t>INSERT INTO tblWMA (WMADistance, WMARoad, WMAWRTime, WMASex, WMAAge, WMAFactor) VALUES (80.467, 1, 17760, 'F', 38, 0.9862);</t>
  </si>
  <si>
    <t>INSERT INTO tblWMA (WMADistance, WMARoad, WMAWRTime, WMASex, WMAAge, WMAFactor) VALUES (80.467, 1, 17760, 'F', 39, 0.9815);</t>
  </si>
  <si>
    <t>INSERT INTO tblWMA (WMADistance, WMARoad, WMAWRTime, WMASex, WMAAge, WMAFactor) VALUES (80.467, 1, 17760, 'F', 40, 0.9762);</t>
  </si>
  <si>
    <t>INSERT INTO tblWMA (WMADistance, WMARoad, WMAWRTime, WMASex, WMAAge, WMAFactor) VALUES (80.467, 1, 17760, 'F', 41, 0.9702);</t>
  </si>
  <si>
    <t>INSERT INTO tblWMA (WMADistance, WMARoad, WMAWRTime, WMASex, WMAAge, WMAFactor) VALUES (80.467, 1, 17760, 'F', 42, 0.9635);</t>
  </si>
  <si>
    <t>INSERT INTO tblWMA (WMADistance, WMARoad, WMAWRTime, WMASex, WMAAge, WMAFactor) VALUES (80.467, 1, 17760, 'F', 43, 0.9562);</t>
  </si>
  <si>
    <t>INSERT INTO tblWMA (WMADistance, WMARoad, WMAWRTime, WMASex, WMAAge, WMAFactor) VALUES (80.467, 1, 17760, 'F', 44, 0.9482);</t>
  </si>
  <si>
    <t>INSERT INTO tblWMA (WMADistance, WMARoad, WMAWRTime, WMASex, WMAAge, WMAFactor) VALUES (80.467, 1, 17760, 'F', 45, 0.9395);</t>
  </si>
  <si>
    <t>INSERT INTO tblWMA (WMADistance, WMARoad, WMAWRTime, WMASex, WMAAge, WMAFactor) VALUES (80.467, 1, 17760, 'F', 46, 0.9301);</t>
  </si>
  <si>
    <t>INSERT INTO tblWMA (WMADistance, WMARoad, WMAWRTime, WMASex, WMAAge, WMAFactor) VALUES (80.467, 1, 17760, 'F', 47, 0.92);</t>
  </si>
  <si>
    <t>INSERT INTO tblWMA (WMADistance, WMARoad, WMAWRTime, WMASex, WMAAge, WMAFactor) VALUES (80.467, 1, 17760, 'F', 48, 0.9093);</t>
  </si>
  <si>
    <t>INSERT INTO tblWMA (WMADistance, WMARoad, WMAWRTime, WMASex, WMAAge, WMAFactor) VALUES (80.467, 1, 17760, 'F', 49, 0.8982);</t>
  </si>
  <si>
    <t>INSERT INTO tblWMA (WMADistance, WMARoad, WMAWRTime, WMASex, WMAAge, WMAFactor) VALUES (80.467, 1, 17760, 'F', 50, 0.8872);</t>
  </si>
  <si>
    <t>INSERT INTO tblWMA (WMADistance, WMARoad, WMAWRTime, WMASex, WMAAge, WMAFactor) VALUES (80.467, 1, 17760, 'F', 51, 0.8761);</t>
  </si>
  <si>
    <t>INSERT INTO tblWMA (WMADistance, WMARoad, WMAWRTime, WMASex, WMAAge, WMAFactor) VALUES (80.467, 1, 17760, 'F', 52, 0.8651);</t>
  </si>
  <si>
    <t>INSERT INTO tblWMA (WMADistance, WMARoad, WMAWRTime, WMASex, WMAAge, WMAFactor) VALUES (80.467, 1, 17760, 'F', 53, 0.854);</t>
  </si>
  <si>
    <t>INSERT INTO tblWMA (WMADistance, WMARoad, WMAWRTime, WMASex, WMAAge, WMAFactor) VALUES (80.467, 1, 17760, 'F', 54, 0.8429);</t>
  </si>
  <si>
    <t>INSERT INTO tblWMA (WMADistance, WMARoad, WMAWRTime, WMASex, WMAAge, WMAFactor) VALUES (80.467, 1, 17760, 'F', 55, 0.8319);</t>
  </si>
  <si>
    <t>INSERT INTO tblWMA (WMADistance, WMARoad, WMAWRTime, WMASex, WMAAge, WMAFactor) VALUES (80.467, 1, 17760, 'F', 56, 0.8208);</t>
  </si>
  <si>
    <t>INSERT INTO tblWMA (WMADistance, WMARoad, WMAWRTime, WMASex, WMAAge, WMAFactor) VALUES (80.467, 1, 17760, 'F', 57, 0.8098);</t>
  </si>
  <si>
    <t>INSERT INTO tblWMA (WMADistance, WMARoad, WMAWRTime, WMASex, WMAAge, WMAFactor) VALUES (80.467, 1, 17760, 'F', 58, 0.7987);</t>
  </si>
  <si>
    <t>INSERT INTO tblWMA (WMADistance, WMARoad, WMAWRTime, WMASex, WMAAge, WMAFactor) VALUES (80.467, 1, 17760, 'F', 59, 0.7876);</t>
  </si>
  <si>
    <t>INSERT INTO tblWMA (WMADistance, WMARoad, WMAWRTime, WMASex, WMAAge, WMAFactor) VALUES (80.467, 1, 17760, 'F', 60, 0.7766);</t>
  </si>
  <si>
    <t>INSERT INTO tblWMA (WMADistance, WMARoad, WMAWRTime, WMASex, WMAAge, WMAFactor) VALUES (80.467, 1, 17760, 'F', 61, 0.7655);</t>
  </si>
  <si>
    <t>INSERT INTO tblWMA (WMADistance, WMARoad, WMAWRTime, WMASex, WMAAge, WMAFactor) VALUES (80.467, 1, 17760, 'F', 62, 0.7545);</t>
  </si>
  <si>
    <t>INSERT INTO tblWMA (WMADistance, WMARoad, WMAWRTime, WMASex, WMAAge, WMAFactor) VALUES (80.467, 1, 17760, 'F', 63, 0.7434);</t>
  </si>
  <si>
    <t>INSERT INTO tblWMA (WMADistance, WMARoad, WMAWRTime, WMASex, WMAAge, WMAFactor) VALUES (80.467, 1, 17760, 'F', 64, 0.7323);</t>
  </si>
  <si>
    <t>INSERT INTO tblWMA (WMADistance, WMARoad, WMAWRTime, WMASex, WMAAge, WMAFactor) VALUES (80.467, 1, 17760, 'F', 65, 0.7213);</t>
  </si>
  <si>
    <t>INSERT INTO tblWMA (WMADistance, WMARoad, WMAWRTime, WMASex, WMAAge, WMAFactor) VALUES (80.467, 1, 17760, 'F', 66, 0.7102);</t>
  </si>
  <si>
    <t>INSERT INTO tblWMA (WMADistance, WMARoad, WMAWRTime, WMASex, WMAAge, WMAFactor) VALUES (80.467, 1, 17760, 'F', 67, 0.6992);</t>
  </si>
  <si>
    <t>INSERT INTO tblWMA (WMADistance, WMARoad, WMAWRTime, WMASex, WMAAge, WMAFactor) VALUES (80.467, 1, 17760, 'F', 68, 0.6881);</t>
  </si>
  <si>
    <t>INSERT INTO tblWMA (WMADistance, WMARoad, WMAWRTime, WMASex, WMAAge, WMAFactor) VALUES (80.467, 1, 17760, 'F', 69, 0.677);</t>
  </si>
  <si>
    <t>INSERT INTO tblWMA (WMADistance, WMARoad, WMAWRTime, WMASex, WMAAge, WMAFactor) VALUES (80.467, 1, 17760, 'F', 70, 0.666);</t>
  </si>
  <si>
    <t>INSERT INTO tblWMA (WMADistance, WMARoad, WMAWRTime, WMASex, WMAAge, WMAFactor) VALUES (80.467, 1, 17760, 'F', 71, 0.6549);</t>
  </si>
  <si>
    <t>INSERT INTO tblWMA (WMADistance, WMARoad, WMAWRTime, WMASex, WMAAge, WMAFactor) VALUES (80.467, 1, 17760, 'F', 72, 0.6439);</t>
  </si>
  <si>
    <t>INSERT INTO tblWMA (WMADistance, WMARoad, WMAWRTime, WMASex, WMAAge, WMAFactor) VALUES (80.467, 1, 17760, 'F', 73, 0.6328);</t>
  </si>
  <si>
    <t>INSERT INTO tblWMA (WMADistance, WMARoad, WMAWRTime, WMASex, WMAAge, WMAFactor) VALUES (80.467, 1, 17760, 'F', 74, 0.6217);</t>
  </si>
  <si>
    <t>INSERT INTO tblWMA (WMADistance, WMARoad, WMAWRTime, WMASex, WMAAge, WMAFactor) VALUES (80.467, 1, 17760, 'F', 75, 0.6103);</t>
  </si>
  <si>
    <t>INSERT INTO tblWMA (WMADistance, WMARoad, WMAWRTime, WMASex, WMAAge, WMAFactor) VALUES (80.467, 1, 17760, 'F', 76, 0.598);</t>
  </si>
  <si>
    <t>INSERT INTO tblWMA (WMADistance, WMARoad, WMAWRTime, WMASex, WMAAge, WMAFactor) VALUES (80.467, 1, 17760, 'F', 77, 0.585);</t>
  </si>
  <si>
    <t>INSERT INTO tblWMA (WMADistance, WMARoad, WMAWRTime, WMASex, WMAAge, WMAFactor) VALUES (80.467, 1, 17760, 'F', 78, 0.5711);</t>
  </si>
  <si>
    <t>INSERT INTO tblWMA (WMADistance, WMARoad, WMAWRTime, WMASex, WMAAge, WMAFactor) VALUES (80.467, 1, 17760, 'F', 79, 0.5564);</t>
  </si>
  <si>
    <t>INSERT INTO tblWMA (WMADistance, WMARoad, WMAWRTime, WMASex, WMAAge, WMAFactor) VALUES (80.467, 1, 17760, 'F', 80, 0.541);</t>
  </si>
  <si>
    <t>INSERT INTO tblWMA (WMADistance, WMARoad, WMAWRTime, WMASex, WMAAge, WMAFactor) VALUES (80.467, 1, 17760, 'F', 81, 0.5247);</t>
  </si>
  <si>
    <t>INSERT INTO tblWMA (WMADistance, WMARoad, WMAWRTime, WMASex, WMAAge, WMAFactor) VALUES (80.467, 1, 17760, 'F', 82, 0.5077);</t>
  </si>
  <si>
    <t>INSERT INTO tblWMA (WMADistance, WMARoad, WMAWRTime, WMASex, WMAAge, WMAFactor) VALUES (80.467, 1, 17760, 'F', 83, 0.4898);</t>
  </si>
  <si>
    <t>INSERT INTO tblWMA (WMADistance, WMARoad, WMAWRTime, WMASex, WMAAge, WMAFactor) VALUES (80.467, 1, 17760, 'F', 84, 0.4711);</t>
  </si>
  <si>
    <t>INSERT INTO tblWMA (WMADistance, WMARoad, WMAWRTime, WMASex, WMAAge, WMAFactor) VALUES (80.467, 1, 17760, 'F', 85, 0.4517);</t>
  </si>
  <si>
    <t>INSERT INTO tblWMA (WMADistance, WMARoad, WMAWRTime, WMASex, WMAAge, WMAFactor) VALUES (80.467, 1, 17760, 'F', 86, 0.4314);</t>
  </si>
  <si>
    <t>INSERT INTO tblWMA (WMADistance, WMARoad, WMAWRTime, WMASex, WMAAge, WMAFactor) VALUES (80.467, 1, 17760, 'F', 87, 0.4104);</t>
  </si>
  <si>
    <t>INSERT INTO tblWMA (WMADistance, WMARoad, WMAWRTime, WMASex, WMAAge, WMAFactor) VALUES (80.467, 1, 17760, 'F', 88, 0.3885);</t>
  </si>
  <si>
    <t>INSERT INTO tblWMA (WMADistance, WMARoad, WMAWRTime, WMASex, WMAAge, WMAFactor) VALUES (80.467, 1, 17760, 'F', 89, 0.3658);</t>
  </si>
  <si>
    <t>INSERT INTO tblWMA (WMADistance, WMARoad, WMAWRTime, WMASex, WMAAge, WMAFactor) VALUES (80.467, 1, 17760, 'F', 90, 0.3424);</t>
  </si>
  <si>
    <t>INSERT INTO tblWMA (WMADistance, WMARoad, WMAWRTime, WMASex, WMAAge, WMAFactor) VALUES (80.467, 1, 17760, 'F', 91, 0.3181);</t>
  </si>
  <si>
    <t>INSERT INTO tblWMA (WMADistance, WMARoad, WMAWRTime, WMASex, WMAAge, WMAFactor) VALUES (80.467, 1, 17760, 'F', 92, 0.2931);</t>
  </si>
  <si>
    <t>INSERT INTO tblWMA (WMADistance, WMARoad, WMAWRTime, WMASex, WMAAge, WMAFactor) VALUES (80.467, 1, 17760, 'F', 93, 0.2672);</t>
  </si>
  <si>
    <t>INSERT INTO tblWMA (WMADistance, WMARoad, WMAWRTime, WMASex, WMAAge, WMAFactor) VALUES (80.467, 1, 17760, 'F', 94, 0.2405);</t>
  </si>
  <si>
    <t>INSERT INTO tblWMA (WMADistance, WMARoad, WMAWRTime, WMASex, WMAAge, WMAFactor) VALUES (80.467, 1, 17760, 'F', 95, 0.2131);</t>
  </si>
  <si>
    <t>INSERT INTO tblWMA (WMADistance, WMARoad, WMAWRTime, WMASex, WMAAge, WMAFactor) VALUES (80.467, 1, 17760, 'F', 96, 0.1848);</t>
  </si>
  <si>
    <t>INSERT INTO tblWMA (WMADistance, WMARoad, WMAWRTime, WMASex, WMAAge, WMAFactor) VALUES (80.467, 1, 17760, 'F', 97, 0.1558);</t>
  </si>
  <si>
    <t>INSERT INTO tblWMA (WMADistance, WMARoad, WMAWRTime, WMASex, WMAAge, WMAFactor) VALUES (80.467, 1, 17760, 'F', 98, 0.1259);</t>
  </si>
  <si>
    <t>INSERT INTO tblWMA (WMADistance, WMARoad, WMAWRTime, WMASex, WMAAge, WMAFactor) VALUES (80.467, 1, 17760, 'F', 99, 0.0952);</t>
  </si>
  <si>
    <t>INSERT INTO tblWMA (WMADistance, WMARoad, WMAWRTime, WMASex, WMAAge, WMAFactor) VALUES (80.467, 1, 17760, 'F', 100, 0.0638);</t>
  </si>
  <si>
    <t>INSERT INTO tblWMA (WMADistance, WMARoad, WMAWRTime, WMASex, WMAAge, WMAFactor) VALUES (100, 1, 23591, 'F', 5, 0.677);</t>
  </si>
  <si>
    <t>INSERT INTO tblWMA (WMADistance, WMARoad, WMAWRTime, WMASex, WMAAge, WMAFactor) VALUES (100, 1, 23591, 'F', 6, 0.7103);</t>
  </si>
  <si>
    <t>INSERT INTO tblWMA (WMADistance, WMARoad, WMAWRTime, WMASex, WMAAge, WMAFactor) VALUES (100, 1, 23591, 'F', 7, 0.7418);</t>
  </si>
  <si>
    <t>INSERT INTO tblWMA (WMADistance, WMARoad, WMAWRTime, WMASex, WMAAge, WMAFactor) VALUES (100, 1, 23591, 'F', 8, 0.7714);</t>
  </si>
  <si>
    <t>INSERT INTO tblWMA (WMADistance, WMARoad, WMAWRTime, WMASex, WMAAge, WMAFactor) VALUES (100, 1, 23591, 'F', 9, 0.7992);</t>
  </si>
  <si>
    <t>INSERT INTO tblWMA (WMADistance, WMARoad, WMAWRTime, WMASex, WMAAge, WMAFactor) VALUES (100, 1, 23591, 'F', 10, 0.8253);</t>
  </si>
  <si>
    <t>INSERT INTO tblWMA (WMADistance, WMARoad, WMAWRTime, WMASex, WMAAge, WMAFactor) VALUES (100, 1, 23591, 'F', 11, 0.8494);</t>
  </si>
  <si>
    <t>INSERT INTO tblWMA (WMADistance, WMARoad, WMAWRTime, WMASex, WMAAge, WMAFactor) VALUES (100, 1, 23591, 'F', 12, 0.8718);</t>
  </si>
  <si>
    <t>INSERT INTO tblWMA (WMADistance, WMARoad, WMAWRTime, WMASex, WMAAge, WMAFactor) VALUES (100, 1, 23591, 'F', 13, 0.8924);</t>
  </si>
  <si>
    <t>INSERT INTO tblWMA (WMADistance, WMARoad, WMAWRTime, WMASex, WMAAge, WMAFactor) VALUES (100, 1, 23591, 'F', 14, 0.9111);</t>
  </si>
  <si>
    <t>INSERT INTO tblWMA (WMADistance, WMARoad, WMAWRTime, WMASex, WMAAge, WMAFactor) VALUES (100, 1, 23591, 'F', 15, 0.928);</t>
  </si>
  <si>
    <t>INSERT INTO tblWMA (WMADistance, WMARoad, WMAWRTime, WMASex, WMAAge, WMAFactor) VALUES (100, 1, 23591, 'F', 16, 0.944);</t>
  </si>
  <si>
    <t>INSERT INTO tblWMA (WMADistance, WMARoad, WMAWRTime, WMASex, WMAAge, WMAFactor) VALUES (100, 1, 23591, 'F', 17, 0.96);</t>
  </si>
  <si>
    <t>INSERT INTO tblWMA (WMADistance, WMARoad, WMAWRTime, WMASex, WMAAge, WMAFactor) VALUES (100, 1, 23591, 'F', 18, 0.9744);</t>
  </si>
  <si>
    <t>INSERT INTO tblWMA (WMADistance, WMARoad, WMAWRTime, WMASex, WMAAge, WMAFactor) VALUES (100, 1, 23591, 'F', 19, 0.9856);</t>
  </si>
  <si>
    <t>INSERT INTO tblWMA (WMADistance, WMARoad, WMAWRTime, WMASex, WMAAge, WMAFactor) VALUES (100, 1, 23591, 'F', 20, 0.9936);</t>
  </si>
  <si>
    <t>INSERT INTO tblWMA (WMADistance, WMARoad, WMAWRTime, WMASex, WMAAge, WMAFactor) VALUES (100, 1, 23591, 'F', 21, 0.9984);</t>
  </si>
  <si>
    <t>INSERT INTO tblWMA (WMADistance, WMARoad, WMAWRTime, WMASex, WMAAge, WMAFactor) VALUES (100, 1, 23591, 'F', 22, 1);</t>
  </si>
  <si>
    <t>INSERT INTO tblWMA (WMADistance, WMARoad, WMAWRTime, WMASex, WMAAge, WMAFactor) VALUES (100, 1, 23591, 'F', 23, 1);</t>
  </si>
  <si>
    <t>INSERT INTO tblWMA (WMADistance, WMARoad, WMAWRTime, WMASex, WMAAge, WMAFactor) VALUES (100, 1, 23591, 'F', 24, 1);</t>
  </si>
  <si>
    <t>INSERT INTO tblWMA (WMADistance, WMARoad, WMAWRTime, WMASex, WMAAge, WMAFactor) VALUES (100, 1, 23591, 'F', 25, 1);</t>
  </si>
  <si>
    <t>INSERT INTO tblWMA (WMADistance, WMARoad, WMAWRTime, WMASex, WMAAge, WMAFactor) VALUES (100, 1, 23591, 'F', 26, 1);</t>
  </si>
  <si>
    <t>INSERT INTO tblWMA (WMADistance, WMARoad, WMAWRTime, WMASex, WMAAge, WMAFactor) VALUES (100, 1, 23591, 'F', 27, 1);</t>
  </si>
  <si>
    <t>INSERT INTO tblWMA (WMADistance, WMARoad, WMAWRTime, WMASex, WMAAge, WMAFactor) VALUES (100, 1, 23591, 'F', 28, 1);</t>
  </si>
  <si>
    <t>INSERT INTO tblWMA (WMADistance, WMARoad, WMAWRTime, WMASex, WMAAge, WMAFactor) VALUES (100, 1, 23591, 'F', 29, 1);</t>
  </si>
  <si>
    <t>INSERT INTO tblWMA (WMADistance, WMARoad, WMAWRTime, WMASex, WMAAge, WMAFactor) VALUES (100, 1, 23591, 'F', 30, 1);</t>
  </si>
  <si>
    <t>INSERT INTO tblWMA (WMADistance, WMARoad, WMAWRTime, WMASex, WMAAge, WMAFactor) VALUES (100, 1, 23591, 'F', 31, 1);</t>
  </si>
  <si>
    <t>INSERT INTO tblWMA (WMADistance, WMARoad, WMAWRTime, WMASex, WMAAge, WMAFactor) VALUES (100, 1, 23591, 'F', 32, 0.9999);</t>
  </si>
  <si>
    <t>INSERT INTO tblWMA (WMADistance, WMARoad, WMAWRTime, WMASex, WMAAge, WMAFactor) VALUES (100, 1, 23591, 'F', 33, 0.9993);</t>
  </si>
  <si>
    <t>INSERT INTO tblWMA (WMADistance, WMARoad, WMAWRTime, WMASex, WMAAge, WMAFactor) VALUES (100, 1, 23591, 'F', 34, 0.9981);</t>
  </si>
  <si>
    <t>INSERT INTO tblWMA (WMADistance, WMARoad, WMAWRTime, WMASex, WMAAge, WMAFactor) VALUES (100, 1, 23591, 'F', 35, 0.9961);</t>
  </si>
  <si>
    <t>INSERT INTO tblWMA (WMADistance, WMARoad, WMAWRTime, WMASex, WMAAge, WMAFactor) VALUES (100, 1, 23591, 'F', 36, 0.9935);</t>
  </si>
  <si>
    <t>INSERT INTO tblWMA (WMADistance, WMARoad, WMAWRTime, WMASex, WMAAge, WMAFactor) VALUES (100, 1, 23591, 'F', 37, 0.9902);</t>
  </si>
  <si>
    <t>INSERT INTO tblWMA (WMADistance, WMARoad, WMAWRTime, WMASex, WMAAge, WMAFactor) VALUES (100, 1, 23591, 'F', 38, 0.9862);</t>
  </si>
  <si>
    <t>INSERT INTO tblWMA (WMADistance, WMARoad, WMAWRTime, WMASex, WMAAge, WMAFactor) VALUES (100, 1, 23591, 'F', 39, 0.9815);</t>
  </si>
  <si>
    <t>INSERT INTO tblWMA (WMADistance, WMARoad, WMAWRTime, WMASex, WMAAge, WMAFactor) VALUES (100, 1, 23591, 'F', 40, 0.9762);</t>
  </si>
  <si>
    <t>INSERT INTO tblWMA (WMADistance, WMARoad, WMAWRTime, WMASex, WMAAge, WMAFactor) VALUES (100, 1, 23591, 'F', 41, 0.9702);</t>
  </si>
  <si>
    <t>INSERT INTO tblWMA (WMADistance, WMARoad, WMAWRTime, WMASex, WMAAge, WMAFactor) VALUES (100, 1, 23591, 'F', 42, 0.9635);</t>
  </si>
  <si>
    <t>INSERT INTO tblWMA (WMADistance, WMARoad, WMAWRTime, WMASex, WMAAge, WMAFactor) VALUES (100, 1, 23591, 'F', 43, 0.9562);</t>
  </si>
  <si>
    <t>INSERT INTO tblWMA (WMADistance, WMARoad, WMAWRTime, WMASex, WMAAge, WMAFactor) VALUES (100, 1, 23591, 'F', 44, 0.9482);</t>
  </si>
  <si>
    <t>INSERT INTO tblWMA (WMADistance, WMARoad, WMAWRTime, WMASex, WMAAge, WMAFactor) VALUES (100, 1, 23591, 'F', 45, 0.9395);</t>
  </si>
  <si>
    <t>INSERT INTO tblWMA (WMADistance, WMARoad, WMAWRTime, WMASex, WMAAge, WMAFactor) VALUES (100, 1, 23591, 'F', 46, 0.9301);</t>
  </si>
  <si>
    <t>INSERT INTO tblWMA (WMADistance, WMARoad, WMAWRTime, WMASex, WMAAge, WMAFactor) VALUES (100, 1, 23591, 'F', 47, 0.92);</t>
  </si>
  <si>
    <t>INSERT INTO tblWMA (WMADistance, WMARoad, WMAWRTime, WMASex, WMAAge, WMAFactor) VALUES (100, 1, 23591, 'F', 48, 0.9093);</t>
  </si>
  <si>
    <t>INSERT INTO tblWMA (WMADistance, WMARoad, WMAWRTime, WMASex, WMAAge, WMAFactor) VALUES (100, 1, 23591, 'F', 49, 0.8982);</t>
  </si>
  <si>
    <t>INSERT INTO tblWMA (WMADistance, WMARoad, WMAWRTime, WMASex, WMAAge, WMAFactor) VALUES (100, 1, 23591, 'F', 50, 0.8872);</t>
  </si>
  <si>
    <t>INSERT INTO tblWMA (WMADistance, WMARoad, WMAWRTime, WMASex, WMAAge, WMAFactor) VALUES (100, 1, 23591, 'F', 51, 0.8761);</t>
  </si>
  <si>
    <t>INSERT INTO tblWMA (WMADistance, WMARoad, WMAWRTime, WMASex, WMAAge, WMAFactor) VALUES (100, 1, 23591, 'F', 52, 0.8651);</t>
  </si>
  <si>
    <t>INSERT INTO tblWMA (WMADistance, WMARoad, WMAWRTime, WMASex, WMAAge, WMAFactor) VALUES (100, 1, 23591, 'F', 53, 0.854);</t>
  </si>
  <si>
    <t>INSERT INTO tblWMA (WMADistance, WMARoad, WMAWRTime, WMASex, WMAAge, WMAFactor) VALUES (100, 1, 23591, 'F', 54, 0.8429);</t>
  </si>
  <si>
    <t>INSERT INTO tblWMA (WMADistance, WMARoad, WMAWRTime, WMASex, WMAAge, WMAFactor) VALUES (100, 1, 23591, 'F', 55, 0.8319);</t>
  </si>
  <si>
    <t>INSERT INTO tblWMA (WMADistance, WMARoad, WMAWRTime, WMASex, WMAAge, WMAFactor) VALUES (100, 1, 23591, 'F', 56, 0.8208);</t>
  </si>
  <si>
    <t>INSERT INTO tblWMA (WMADistance, WMARoad, WMAWRTime, WMASex, WMAAge, WMAFactor) VALUES (100, 1, 23591, 'F', 57, 0.8098);</t>
  </si>
  <si>
    <t>INSERT INTO tblWMA (WMADistance, WMARoad, WMAWRTime, WMASex, WMAAge, WMAFactor) VALUES (100, 1, 23591, 'F', 58, 0.7987);</t>
  </si>
  <si>
    <t>INSERT INTO tblWMA (WMADistance, WMARoad, WMAWRTime, WMASex, WMAAge, WMAFactor) VALUES (100, 1, 23591, 'F', 59, 0.7876);</t>
  </si>
  <si>
    <t>INSERT INTO tblWMA (WMADistance, WMARoad, WMAWRTime, WMASex, WMAAge, WMAFactor) VALUES (100, 1, 23591, 'F', 60, 0.7766);</t>
  </si>
  <si>
    <t>INSERT INTO tblWMA (WMADistance, WMARoad, WMAWRTime, WMASex, WMAAge, WMAFactor) VALUES (100, 1, 23591, 'F', 61, 0.7655);</t>
  </si>
  <si>
    <t>INSERT INTO tblWMA (WMADistance, WMARoad, WMAWRTime, WMASex, WMAAge, WMAFactor) VALUES (100, 1, 23591, 'F', 62, 0.7545);</t>
  </si>
  <si>
    <t>INSERT INTO tblWMA (WMADistance, WMARoad, WMAWRTime, WMASex, WMAAge, WMAFactor) VALUES (100, 1, 23591, 'F', 63, 0.7434);</t>
  </si>
  <si>
    <t>INSERT INTO tblWMA (WMADistance, WMARoad, WMAWRTime, WMASex, WMAAge, WMAFactor) VALUES (100, 1, 23591, 'F', 64, 0.7323);</t>
  </si>
  <si>
    <t>INSERT INTO tblWMA (WMADistance, WMARoad, WMAWRTime, WMASex, WMAAge, WMAFactor) VALUES (100, 1, 23591, 'F', 65, 0.7213);</t>
  </si>
  <si>
    <t>INSERT INTO tblWMA (WMADistance, WMARoad, WMAWRTime, WMASex, WMAAge, WMAFactor) VALUES (100, 1, 23591, 'F', 66, 0.7102);</t>
  </si>
  <si>
    <t>INSERT INTO tblWMA (WMADistance, WMARoad, WMAWRTime, WMASex, WMAAge, WMAFactor) VALUES (100, 1, 23591, 'F', 67, 0.6992);</t>
  </si>
  <si>
    <t>INSERT INTO tblWMA (WMADistance, WMARoad, WMAWRTime, WMASex, WMAAge, WMAFactor) VALUES (100, 1, 23591, 'F', 68, 0.6881);</t>
  </si>
  <si>
    <t>INSERT INTO tblWMA (WMADistance, WMARoad, WMAWRTime, WMASex, WMAAge, WMAFactor) VALUES (100, 1, 23591, 'F', 69, 0.677);</t>
  </si>
  <si>
    <t>INSERT INTO tblWMA (WMADistance, WMARoad, WMAWRTime, WMASex, WMAAge, WMAFactor) VALUES (100, 1, 23591, 'F', 70, 0.666);</t>
  </si>
  <si>
    <t>INSERT INTO tblWMA (WMADistance, WMARoad, WMAWRTime, WMASex, WMAAge, WMAFactor) VALUES (100, 1, 23591, 'F', 71, 0.6549);</t>
  </si>
  <si>
    <t>INSERT INTO tblWMA (WMADistance, WMARoad, WMAWRTime, WMASex, WMAAge, WMAFactor) VALUES (100, 1, 23591, 'F', 72, 0.6439);</t>
  </si>
  <si>
    <t>INSERT INTO tblWMA (WMADistance, WMARoad, WMAWRTime, WMASex, WMAAge, WMAFactor) VALUES (100, 1, 23591, 'F', 73, 0.6328);</t>
  </si>
  <si>
    <t>INSERT INTO tblWMA (WMADistance, WMARoad, WMAWRTime, WMASex, WMAAge, WMAFactor) VALUES (100, 1, 23591, 'F', 74, 0.6217);</t>
  </si>
  <si>
    <t>INSERT INTO tblWMA (WMADistance, WMARoad, WMAWRTime, WMASex, WMAAge, WMAFactor) VALUES (100, 1, 23591, 'F', 75, 0.6103);</t>
  </si>
  <si>
    <t>INSERT INTO tblWMA (WMADistance, WMARoad, WMAWRTime, WMASex, WMAAge, WMAFactor) VALUES (100, 1, 23591, 'F', 76, 0.598);</t>
  </si>
  <si>
    <t>INSERT INTO tblWMA (WMADistance, WMARoad, WMAWRTime, WMASex, WMAAge, WMAFactor) VALUES (100, 1, 23591, 'F', 77, 0.585);</t>
  </si>
  <si>
    <t>INSERT INTO tblWMA (WMADistance, WMARoad, WMAWRTime, WMASex, WMAAge, WMAFactor) VALUES (100, 1, 23591, 'F', 78, 0.5711);</t>
  </si>
  <si>
    <t>INSERT INTO tblWMA (WMADistance, WMARoad, WMAWRTime, WMASex, WMAAge, WMAFactor) VALUES (100, 1, 23591, 'F', 79, 0.5564);</t>
  </si>
  <si>
    <t>INSERT INTO tblWMA (WMADistance, WMARoad, WMAWRTime, WMASex, WMAAge, WMAFactor) VALUES (100, 1, 23591, 'F', 80, 0.541);</t>
  </si>
  <si>
    <t>INSERT INTO tblWMA (WMADistance, WMARoad, WMAWRTime, WMASex, WMAAge, WMAFactor) VALUES (100, 1, 23591, 'F', 81, 0.5247);</t>
  </si>
  <si>
    <t>INSERT INTO tblWMA (WMADistance, WMARoad, WMAWRTime, WMASex, WMAAge, WMAFactor) VALUES (100, 1, 23591, 'F', 82, 0.5077);</t>
  </si>
  <si>
    <t>INSERT INTO tblWMA (WMADistance, WMARoad, WMAWRTime, WMASex, WMAAge, WMAFactor) VALUES (100, 1, 23591, 'F', 83, 0.4898);</t>
  </si>
  <si>
    <t>INSERT INTO tblWMA (WMADistance, WMARoad, WMAWRTime, WMASex, WMAAge, WMAFactor) VALUES (100, 1, 23591, 'F', 84, 0.4711);</t>
  </si>
  <si>
    <t>INSERT INTO tblWMA (WMADistance, WMARoad, WMAWRTime, WMASex, WMAAge, WMAFactor) VALUES (100, 1, 23591, 'F', 85, 0.4517);</t>
  </si>
  <si>
    <t>INSERT INTO tblWMA (WMADistance, WMARoad, WMAWRTime, WMASex, WMAAge, WMAFactor) VALUES (100, 1, 23591, 'F', 86, 0.4314);</t>
  </si>
  <si>
    <t>INSERT INTO tblWMA (WMADistance, WMARoad, WMAWRTime, WMASex, WMAAge, WMAFactor) VALUES (100, 1, 23591, 'F', 87, 0.4104);</t>
  </si>
  <si>
    <t>INSERT INTO tblWMA (WMADistance, WMARoad, WMAWRTime, WMASex, WMAAge, WMAFactor) VALUES (100, 1, 23591, 'F', 88, 0.3885);</t>
  </si>
  <si>
    <t>INSERT INTO tblWMA (WMADistance, WMARoad, WMAWRTime, WMASex, WMAAge, WMAFactor) VALUES (100, 1, 23591, 'F', 89, 0.3658);</t>
  </si>
  <si>
    <t>INSERT INTO tblWMA (WMADistance, WMARoad, WMAWRTime, WMASex, WMAAge, WMAFactor) VALUES (100, 1, 23591, 'F', 90, 0.3424);</t>
  </si>
  <si>
    <t>INSERT INTO tblWMA (WMADistance, WMARoad, WMAWRTime, WMASex, WMAAge, WMAFactor) VALUES (100, 1, 23591, 'F', 91, 0.3181);</t>
  </si>
  <si>
    <t>INSERT INTO tblWMA (WMADistance, WMARoad, WMAWRTime, WMASex, WMAAge, WMAFactor) VALUES (100, 1, 23591, 'F', 92, 0.2931);</t>
  </si>
  <si>
    <t>INSERT INTO tblWMA (WMADistance, WMARoad, WMAWRTime, WMASex, WMAAge, WMAFactor) VALUES (100, 1, 23591, 'F', 93, 0.2672);</t>
  </si>
  <si>
    <t>INSERT INTO tblWMA (WMADistance, WMARoad, WMAWRTime, WMASex, WMAAge, WMAFactor) VALUES (100, 1, 23591, 'F', 94, 0.2405);</t>
  </si>
  <si>
    <t>INSERT INTO tblWMA (WMADistance, WMARoad, WMAWRTime, WMASex, WMAAge, WMAFactor) VALUES (100, 1, 23591, 'F', 95, 0.2131);</t>
  </si>
  <si>
    <t>INSERT INTO tblWMA (WMADistance, WMARoad, WMAWRTime, WMASex, WMAAge, WMAFactor) VALUES (100, 1, 23591, 'F', 96, 0.1848);</t>
  </si>
  <si>
    <t>INSERT INTO tblWMA (WMADistance, WMARoad, WMAWRTime, WMASex, WMAAge, WMAFactor) VALUES (100, 1, 23591, 'F', 97, 0.1558);</t>
  </si>
  <si>
    <t>INSERT INTO tblWMA (WMADistance, WMARoad, WMAWRTime, WMASex, WMAAge, WMAFactor) VALUES (100, 1, 23591, 'F', 98, 0.1259);</t>
  </si>
  <si>
    <t>INSERT INTO tblWMA (WMADistance, WMARoad, WMAWRTime, WMASex, WMAAge, WMAFactor) VALUES (100, 1, 23591, 'F', 99, 0.0952);</t>
  </si>
  <si>
    <t>INSERT INTO tblWMA (WMADistance, WMARoad, WMAWRTime, WMASex, WMAAge, WMAFactor) VALUES (100, 1, 23591, 'F', 100, 0.0638);</t>
  </si>
  <si>
    <t>INSERT INTO tblWMA (WMADistance, WMARoad, WMAWRTime, WMASex, WMAAge, WMAFactor) VALUES (150, 1, 39700, 'F', 5, 0.677);</t>
  </si>
  <si>
    <t>INSERT INTO tblWMA (WMADistance, WMARoad, WMAWRTime, WMASex, WMAAge, WMAFactor) VALUES (150, 1, 39700, 'F', 6, 0.7103);</t>
  </si>
  <si>
    <t>INSERT INTO tblWMA (WMADistance, WMARoad, WMAWRTime, WMASex, WMAAge, WMAFactor) VALUES (150, 1, 39700, 'F', 7, 0.7418);</t>
  </si>
  <si>
    <t>INSERT INTO tblWMA (WMADistance, WMARoad, WMAWRTime, WMASex, WMAAge, WMAFactor) VALUES (150, 1, 39700, 'F', 8, 0.7714);</t>
  </si>
  <si>
    <t>INSERT INTO tblWMA (WMADistance, WMARoad, WMAWRTime, WMASex, WMAAge, WMAFactor) VALUES (150, 1, 39700, 'F', 9, 0.7992);</t>
  </si>
  <si>
    <t>INSERT INTO tblWMA (WMADistance, WMARoad, WMAWRTime, WMASex, WMAAge, WMAFactor) VALUES (150, 1, 39700, 'F', 10, 0.8253);</t>
  </si>
  <si>
    <t>INSERT INTO tblWMA (WMADistance, WMARoad, WMAWRTime, WMASex, WMAAge, WMAFactor) VALUES (150, 1, 39700, 'F', 11, 0.8494);</t>
  </si>
  <si>
    <t>INSERT INTO tblWMA (WMADistance, WMARoad, WMAWRTime, WMASex, WMAAge, WMAFactor) VALUES (150, 1, 39700, 'F', 12, 0.8718);</t>
  </si>
  <si>
    <t>INSERT INTO tblWMA (WMADistance, WMARoad, WMAWRTime, WMASex, WMAAge, WMAFactor) VALUES (150, 1, 39700, 'F', 13, 0.8924);</t>
  </si>
  <si>
    <t>INSERT INTO tblWMA (WMADistance, WMARoad, WMAWRTime, WMASex, WMAAge, WMAFactor) VALUES (150, 1, 39700, 'F', 14, 0.9111);</t>
  </si>
  <si>
    <t>INSERT INTO tblWMA (WMADistance, WMARoad, WMAWRTime, WMASex, WMAAge, WMAFactor) VALUES (150, 1, 39700, 'F', 15, 0.928);</t>
  </si>
  <si>
    <t>INSERT INTO tblWMA (WMADistance, WMARoad, WMAWRTime, WMASex, WMAAge, WMAFactor) VALUES (150, 1, 39700, 'F', 16, 0.944);</t>
  </si>
  <si>
    <t>INSERT INTO tblWMA (WMADistance, WMARoad, WMAWRTime, WMASex, WMAAge, WMAFactor) VALUES (150, 1, 39700, 'F', 17, 0.96);</t>
  </si>
  <si>
    <t>INSERT INTO tblWMA (WMADistance, WMARoad, WMAWRTime, WMASex, WMAAge, WMAFactor) VALUES (150, 1, 39700, 'F', 18, 0.9744);</t>
  </si>
  <si>
    <t>INSERT INTO tblWMA (WMADistance, WMARoad, WMAWRTime, WMASex, WMAAge, WMAFactor) VALUES (150, 1, 39700, 'F', 19, 0.9856);</t>
  </si>
  <si>
    <t>INSERT INTO tblWMA (WMADistance, WMARoad, WMAWRTime, WMASex, WMAAge, WMAFactor) VALUES (150, 1, 39700, 'F', 20, 0.9936);</t>
  </si>
  <si>
    <t>INSERT INTO tblWMA (WMADistance, WMARoad, WMAWRTime, WMASex, WMAAge, WMAFactor) VALUES (150, 1, 39700, 'F', 21, 0.9984);</t>
  </si>
  <si>
    <t>INSERT INTO tblWMA (WMADistance, WMARoad, WMAWRTime, WMASex, WMAAge, WMAFactor) VALUES (150, 1, 39700, 'F', 22, 1);</t>
  </si>
  <si>
    <t>INSERT INTO tblWMA (WMADistance, WMARoad, WMAWRTime, WMASex, WMAAge, WMAFactor) VALUES (150, 1, 39700, 'F', 23, 1);</t>
  </si>
  <si>
    <t>INSERT INTO tblWMA (WMADistance, WMARoad, WMAWRTime, WMASex, WMAAge, WMAFactor) VALUES (150, 1, 39700, 'F', 24, 1);</t>
  </si>
  <si>
    <t>INSERT INTO tblWMA (WMADistance, WMARoad, WMAWRTime, WMASex, WMAAge, WMAFactor) VALUES (150, 1, 39700, 'F', 25, 1);</t>
  </si>
  <si>
    <t>INSERT INTO tblWMA (WMADistance, WMARoad, WMAWRTime, WMASex, WMAAge, WMAFactor) VALUES (150, 1, 39700, 'F', 26, 1);</t>
  </si>
  <si>
    <t>INSERT INTO tblWMA (WMADistance, WMARoad, WMAWRTime, WMASex, WMAAge, WMAFactor) VALUES (150, 1, 39700, 'F', 27, 1);</t>
  </si>
  <si>
    <t>INSERT INTO tblWMA (WMADistance, WMARoad, WMAWRTime, WMASex, WMAAge, WMAFactor) VALUES (150, 1, 39700, 'F', 28, 1);</t>
  </si>
  <si>
    <t>INSERT INTO tblWMA (WMADistance, WMARoad, WMAWRTime, WMASex, WMAAge, WMAFactor) VALUES (150, 1, 39700, 'F', 29, 1);</t>
  </si>
  <si>
    <t>INSERT INTO tblWMA (WMADistance, WMARoad, WMAWRTime, WMASex, WMAAge, WMAFactor) VALUES (150, 1, 39700, 'F', 30, 1);</t>
  </si>
  <si>
    <t>INSERT INTO tblWMA (WMADistance, WMARoad, WMAWRTime, WMASex, WMAAge, WMAFactor) VALUES (150, 1, 39700, 'F', 31, 1);</t>
  </si>
  <si>
    <t>INSERT INTO tblWMA (WMADistance, WMARoad, WMAWRTime, WMASex, WMAAge, WMAFactor) VALUES (150, 1, 39700, 'F', 32, 0.9999);</t>
  </si>
  <si>
    <t>INSERT INTO tblWMA (WMADistance, WMARoad, WMAWRTime, WMASex, WMAAge, WMAFactor) VALUES (150, 1, 39700, 'F', 33, 0.9993);</t>
  </si>
  <si>
    <t>INSERT INTO tblWMA (WMADistance, WMARoad, WMAWRTime, WMASex, WMAAge, WMAFactor) VALUES (150, 1, 39700, 'F', 34, 0.9981);</t>
  </si>
  <si>
    <t>INSERT INTO tblWMA (WMADistance, WMARoad, WMAWRTime, WMASex, WMAAge, WMAFactor) VALUES (150, 1, 39700, 'F', 35, 0.9961);</t>
  </si>
  <si>
    <t>INSERT INTO tblWMA (WMADistance, WMARoad, WMAWRTime, WMASex, WMAAge, WMAFactor) VALUES (150, 1, 39700, 'F', 36, 0.9935);</t>
  </si>
  <si>
    <t>INSERT INTO tblWMA (WMADistance, WMARoad, WMAWRTime, WMASex, WMAAge, WMAFactor) VALUES (150, 1, 39700, 'F', 37, 0.9902);</t>
  </si>
  <si>
    <t>INSERT INTO tblWMA (WMADistance, WMARoad, WMAWRTime, WMASex, WMAAge, WMAFactor) VALUES (150, 1, 39700, 'F', 38, 0.9862);</t>
  </si>
  <si>
    <t>INSERT INTO tblWMA (WMADistance, WMARoad, WMAWRTime, WMASex, WMAAge, WMAFactor) VALUES (150, 1, 39700, 'F', 39, 0.9815);</t>
  </si>
  <si>
    <t>INSERT INTO tblWMA (WMADistance, WMARoad, WMAWRTime, WMASex, WMAAge, WMAFactor) VALUES (150, 1, 39700, 'F', 40, 0.9762);</t>
  </si>
  <si>
    <t>INSERT INTO tblWMA (WMADistance, WMARoad, WMAWRTime, WMASex, WMAAge, WMAFactor) VALUES (150, 1, 39700, 'F', 41, 0.9702);</t>
  </si>
  <si>
    <t>INSERT INTO tblWMA (WMADistance, WMARoad, WMAWRTime, WMASex, WMAAge, WMAFactor) VALUES (150, 1, 39700, 'F', 42, 0.9635);</t>
  </si>
  <si>
    <t>INSERT INTO tblWMA (WMADistance, WMARoad, WMAWRTime, WMASex, WMAAge, WMAFactor) VALUES (150, 1, 39700, 'F', 43, 0.9562);</t>
  </si>
  <si>
    <t>INSERT INTO tblWMA (WMADistance, WMARoad, WMAWRTime, WMASex, WMAAge, WMAFactor) VALUES (150, 1, 39700, 'F', 44, 0.9482);</t>
  </si>
  <si>
    <t>INSERT INTO tblWMA (WMADistance, WMARoad, WMAWRTime, WMASex, WMAAge, WMAFactor) VALUES (150, 1, 39700, 'F', 45, 0.9395);</t>
  </si>
  <si>
    <t>INSERT INTO tblWMA (WMADistance, WMARoad, WMAWRTime, WMASex, WMAAge, WMAFactor) VALUES (150, 1, 39700, 'F', 46, 0.9301);</t>
  </si>
  <si>
    <t>INSERT INTO tblWMA (WMADistance, WMARoad, WMAWRTime, WMASex, WMAAge, WMAFactor) VALUES (150, 1, 39700, 'F', 47, 0.92);</t>
  </si>
  <si>
    <t>INSERT INTO tblWMA (WMADistance, WMARoad, WMAWRTime, WMASex, WMAAge, WMAFactor) VALUES (150, 1, 39700, 'F', 48, 0.9093);</t>
  </si>
  <si>
    <t>INSERT INTO tblWMA (WMADistance, WMARoad, WMAWRTime, WMASex, WMAAge, WMAFactor) VALUES (150, 1, 39700, 'F', 49, 0.8982);</t>
  </si>
  <si>
    <t>INSERT INTO tblWMA (WMADistance, WMARoad, WMAWRTime, WMASex, WMAAge, WMAFactor) VALUES (150, 1, 39700, 'F', 50, 0.8872);</t>
  </si>
  <si>
    <t>INSERT INTO tblWMA (WMADistance, WMARoad, WMAWRTime, WMASex, WMAAge, WMAFactor) VALUES (150, 1, 39700, 'F', 51, 0.8761);</t>
  </si>
  <si>
    <t>INSERT INTO tblWMA (WMADistance, WMARoad, WMAWRTime, WMASex, WMAAge, WMAFactor) VALUES (150, 1, 39700, 'F', 52, 0.8651);</t>
  </si>
  <si>
    <t>INSERT INTO tblWMA (WMADistance, WMARoad, WMAWRTime, WMASex, WMAAge, WMAFactor) VALUES (150, 1, 39700, 'F', 53, 0.854);</t>
  </si>
  <si>
    <t>INSERT INTO tblWMA (WMADistance, WMARoad, WMAWRTime, WMASex, WMAAge, WMAFactor) VALUES (150, 1, 39700, 'F', 54, 0.8429);</t>
  </si>
  <si>
    <t>INSERT INTO tblWMA (WMADistance, WMARoad, WMAWRTime, WMASex, WMAAge, WMAFactor) VALUES (150, 1, 39700, 'F', 55, 0.8319);</t>
  </si>
  <si>
    <t>INSERT INTO tblWMA (WMADistance, WMARoad, WMAWRTime, WMASex, WMAAge, WMAFactor) VALUES (150, 1, 39700, 'F', 56, 0.8208);</t>
  </si>
  <si>
    <t>INSERT INTO tblWMA (WMADistance, WMARoad, WMAWRTime, WMASex, WMAAge, WMAFactor) VALUES (150, 1, 39700, 'F', 57, 0.8098);</t>
  </si>
  <si>
    <t>INSERT INTO tblWMA (WMADistance, WMARoad, WMAWRTime, WMASex, WMAAge, WMAFactor) VALUES (150, 1, 39700, 'F', 58, 0.7987);</t>
  </si>
  <si>
    <t>INSERT INTO tblWMA (WMADistance, WMARoad, WMAWRTime, WMASex, WMAAge, WMAFactor) VALUES (150, 1, 39700, 'F', 59, 0.7876);</t>
  </si>
  <si>
    <t>INSERT INTO tblWMA (WMADistance, WMARoad, WMAWRTime, WMASex, WMAAge, WMAFactor) VALUES (150, 1, 39700, 'F', 60, 0.7766);</t>
  </si>
  <si>
    <t>INSERT INTO tblWMA (WMADistance, WMARoad, WMAWRTime, WMASex, WMAAge, WMAFactor) VALUES (150, 1, 39700, 'F', 61, 0.7655);</t>
  </si>
  <si>
    <t>INSERT INTO tblWMA (WMADistance, WMARoad, WMAWRTime, WMASex, WMAAge, WMAFactor) VALUES (150, 1, 39700, 'F', 62, 0.7545);</t>
  </si>
  <si>
    <t>INSERT INTO tblWMA (WMADistance, WMARoad, WMAWRTime, WMASex, WMAAge, WMAFactor) VALUES (150, 1, 39700, 'F', 63, 0.7434);</t>
  </si>
  <si>
    <t>INSERT INTO tblWMA (WMADistance, WMARoad, WMAWRTime, WMASex, WMAAge, WMAFactor) VALUES (150, 1, 39700, 'F', 64, 0.7323);</t>
  </si>
  <si>
    <t>INSERT INTO tblWMA (WMADistance, WMARoad, WMAWRTime, WMASex, WMAAge, WMAFactor) VALUES (150, 1, 39700, 'F', 65, 0.7213);</t>
  </si>
  <si>
    <t>INSERT INTO tblWMA (WMADistance, WMARoad, WMAWRTime, WMASex, WMAAge, WMAFactor) VALUES (150, 1, 39700, 'F', 66, 0.7102);</t>
  </si>
  <si>
    <t>INSERT INTO tblWMA (WMADistance, WMARoad, WMAWRTime, WMASex, WMAAge, WMAFactor) VALUES (150, 1, 39700, 'F', 67, 0.6992);</t>
  </si>
  <si>
    <t>INSERT INTO tblWMA (WMADistance, WMARoad, WMAWRTime, WMASex, WMAAge, WMAFactor) VALUES (150, 1, 39700, 'F', 68, 0.6881);</t>
  </si>
  <si>
    <t>INSERT INTO tblWMA (WMADistance, WMARoad, WMAWRTime, WMASex, WMAAge, WMAFactor) VALUES (150, 1, 39700, 'F', 69, 0.677);</t>
  </si>
  <si>
    <t>INSERT INTO tblWMA (WMADistance, WMARoad, WMAWRTime, WMASex, WMAAge, WMAFactor) VALUES (150, 1, 39700, 'F', 70, 0.666);</t>
  </si>
  <si>
    <t>INSERT INTO tblWMA (WMADistance, WMARoad, WMAWRTime, WMASex, WMAAge, WMAFactor) VALUES (150, 1, 39700, 'F', 71, 0.6549);</t>
  </si>
  <si>
    <t>INSERT INTO tblWMA (WMADistance, WMARoad, WMAWRTime, WMASex, WMAAge, WMAFactor) VALUES (150, 1, 39700, 'F', 72, 0.6439);</t>
  </si>
  <si>
    <t>INSERT INTO tblWMA (WMADistance, WMARoad, WMAWRTime, WMASex, WMAAge, WMAFactor) VALUES (150, 1, 39700, 'F', 73, 0.6328);</t>
  </si>
  <si>
    <t>INSERT INTO tblWMA (WMADistance, WMARoad, WMAWRTime, WMASex, WMAAge, WMAFactor) VALUES (150, 1, 39700, 'F', 74, 0.6217);</t>
  </si>
  <si>
    <t>INSERT INTO tblWMA (WMADistance, WMARoad, WMAWRTime, WMASex, WMAAge, WMAFactor) VALUES (150, 1, 39700, 'F', 75, 0.6103);</t>
  </si>
  <si>
    <t>INSERT INTO tblWMA (WMADistance, WMARoad, WMAWRTime, WMASex, WMAAge, WMAFactor) VALUES (150, 1, 39700, 'F', 76, 0.598);</t>
  </si>
  <si>
    <t>INSERT INTO tblWMA (WMADistance, WMARoad, WMAWRTime, WMASex, WMAAge, WMAFactor) VALUES (150, 1, 39700, 'F', 77, 0.585);</t>
  </si>
  <si>
    <t>INSERT INTO tblWMA (WMADistance, WMARoad, WMAWRTime, WMASex, WMAAge, WMAFactor) VALUES (150, 1, 39700, 'F', 78, 0.5711);</t>
  </si>
  <si>
    <t>INSERT INTO tblWMA (WMADistance, WMARoad, WMAWRTime, WMASex, WMAAge, WMAFactor) VALUES (150, 1, 39700, 'F', 79, 0.5564);</t>
  </si>
  <si>
    <t>INSERT INTO tblWMA (WMADistance, WMARoad, WMAWRTime, WMASex, WMAAge, WMAFactor) VALUES (150, 1, 39700, 'F', 80, 0.541);</t>
  </si>
  <si>
    <t>INSERT INTO tblWMA (WMADistance, WMARoad, WMAWRTime, WMASex, WMAAge, WMAFactor) VALUES (150, 1, 39700, 'F', 81, 0.5247);</t>
  </si>
  <si>
    <t>INSERT INTO tblWMA (WMADistance, WMARoad, WMAWRTime, WMASex, WMAAge, WMAFactor) VALUES (150, 1, 39700, 'F', 82, 0.5077);</t>
  </si>
  <si>
    <t>INSERT INTO tblWMA (WMADistance, WMARoad, WMAWRTime, WMASex, WMAAge, WMAFactor) VALUES (150, 1, 39700, 'F', 83, 0.4898);</t>
  </si>
  <si>
    <t>INSERT INTO tblWMA (WMADistance, WMARoad, WMAWRTime, WMASex, WMAAge, WMAFactor) VALUES (150, 1, 39700, 'F', 84, 0.4711);</t>
  </si>
  <si>
    <t>INSERT INTO tblWMA (WMADistance, WMARoad, WMAWRTime, WMASex, WMAAge, WMAFactor) VALUES (150, 1, 39700, 'F', 85, 0.4517);</t>
  </si>
  <si>
    <t>INSERT INTO tblWMA (WMADistance, WMARoad, WMAWRTime, WMASex, WMAAge, WMAFactor) VALUES (150, 1, 39700, 'F', 86, 0.4314);</t>
  </si>
  <si>
    <t>INSERT INTO tblWMA (WMADistance, WMARoad, WMAWRTime, WMASex, WMAAge, WMAFactor) VALUES (150, 1, 39700, 'F', 87, 0.4104);</t>
  </si>
  <si>
    <t>INSERT INTO tblWMA (WMADistance, WMARoad, WMAWRTime, WMASex, WMAAge, WMAFactor) VALUES (150, 1, 39700, 'F', 88, 0.3885);</t>
  </si>
  <si>
    <t>INSERT INTO tblWMA (WMADistance, WMARoad, WMAWRTime, WMASex, WMAAge, WMAFactor) VALUES (150, 1, 39700, 'F', 89, 0.3658);</t>
  </si>
  <si>
    <t>INSERT INTO tblWMA (WMADistance, WMARoad, WMAWRTime, WMASex, WMAAge, WMAFactor) VALUES (150, 1, 39700, 'F', 90, 0.3424);</t>
  </si>
  <si>
    <t>INSERT INTO tblWMA (WMADistance, WMARoad, WMAWRTime, WMASex, WMAAge, WMAFactor) VALUES (150, 1, 39700, 'F', 91, 0.3181);</t>
  </si>
  <si>
    <t>INSERT INTO tblWMA (WMADistance, WMARoad, WMAWRTime, WMASex, WMAAge, WMAFactor) VALUES (150, 1, 39700, 'F', 92, 0.2931);</t>
  </si>
  <si>
    <t>INSERT INTO tblWMA (WMADistance, WMARoad, WMAWRTime, WMASex, WMAAge, WMAFactor) VALUES (150, 1, 39700, 'F', 93, 0.2672);</t>
  </si>
  <si>
    <t>INSERT INTO tblWMA (WMADistance, WMARoad, WMAWRTime, WMASex, WMAAge, WMAFactor) VALUES (150, 1, 39700, 'F', 94, 0.2405);</t>
  </si>
  <si>
    <t>INSERT INTO tblWMA (WMADistance, WMARoad, WMAWRTime, WMASex, WMAAge, WMAFactor) VALUES (150, 1, 39700, 'F', 95, 0.2131);</t>
  </si>
  <si>
    <t>INSERT INTO tblWMA (WMADistance, WMARoad, WMAWRTime, WMASex, WMAAge, WMAFactor) VALUES (150, 1, 39700, 'F', 96, 0.1848);</t>
  </si>
  <si>
    <t>INSERT INTO tblWMA (WMADistance, WMARoad, WMAWRTime, WMASex, WMAAge, WMAFactor) VALUES (150, 1, 39700, 'F', 97, 0.1558);</t>
  </si>
  <si>
    <t>INSERT INTO tblWMA (WMADistance, WMARoad, WMAWRTime, WMASex, WMAAge, WMAFactor) VALUES (150, 1, 39700, 'F', 98, 0.1259);</t>
  </si>
  <si>
    <t>INSERT INTO tblWMA (WMADistance, WMARoad, WMAWRTime, WMASex, WMAAge, WMAFactor) VALUES (150, 1, 39700, 'F', 99, 0.0952);</t>
  </si>
  <si>
    <t>INSERT INTO tblWMA (WMADistance, WMARoad, WMAWRTime, WMASex, WMAAge, WMAFactor) VALUES (150, 1, 39700, 'F', 100, 0.0638);</t>
  </si>
  <si>
    <t>INSERT INTO tblWMA (WMADistance, WMARoad, WMAWRTime, WMASex, WMAAge, WMAFactor) VALUES (160.934, 1, 43500, 'F', 5, 0.677);</t>
  </si>
  <si>
    <t>INSERT INTO tblWMA (WMADistance, WMARoad, WMAWRTime, WMASex, WMAAge, WMAFactor) VALUES (160.934, 1, 43500, 'F', 6, 0.7103);</t>
  </si>
  <si>
    <t>INSERT INTO tblWMA (WMADistance, WMARoad, WMAWRTime, WMASex, WMAAge, WMAFactor) VALUES (160.934, 1, 43500, 'F', 7, 0.7418);</t>
  </si>
  <si>
    <t>INSERT INTO tblWMA (WMADistance, WMARoad, WMAWRTime, WMASex, WMAAge, WMAFactor) VALUES (160.934, 1, 43500, 'F', 8, 0.7714);</t>
  </si>
  <si>
    <t>INSERT INTO tblWMA (WMADistance, WMARoad, WMAWRTime, WMASex, WMAAge, WMAFactor) VALUES (160.934, 1, 43500, 'F', 9, 0.7992);</t>
  </si>
  <si>
    <t>INSERT INTO tblWMA (WMADistance, WMARoad, WMAWRTime, WMASex, WMAAge, WMAFactor) VALUES (160.934, 1, 43500, 'F', 10, 0.8253);</t>
  </si>
  <si>
    <t>INSERT INTO tblWMA (WMADistance, WMARoad, WMAWRTime, WMASex, WMAAge, WMAFactor) VALUES (160.934, 1, 43500, 'F', 11, 0.8494);</t>
  </si>
  <si>
    <t>INSERT INTO tblWMA (WMADistance, WMARoad, WMAWRTime, WMASex, WMAAge, WMAFactor) VALUES (160.934, 1, 43500, 'F', 12, 0.8718);</t>
  </si>
  <si>
    <t>INSERT INTO tblWMA (WMADistance, WMARoad, WMAWRTime, WMASex, WMAAge, WMAFactor) VALUES (160.934, 1, 43500, 'F', 13, 0.8924);</t>
  </si>
  <si>
    <t>INSERT INTO tblWMA (WMADistance, WMARoad, WMAWRTime, WMASex, WMAAge, WMAFactor) VALUES (160.934, 1, 43500, 'F', 14, 0.9111);</t>
  </si>
  <si>
    <t>INSERT INTO tblWMA (WMADistance, WMARoad, WMAWRTime, WMASex, WMAAge, WMAFactor) VALUES (160.934, 1, 43500, 'F', 15, 0.928);</t>
  </si>
  <si>
    <t>INSERT INTO tblWMA (WMADistance, WMARoad, WMAWRTime, WMASex, WMAAge, WMAFactor) VALUES (160.934, 1, 43500, 'F', 16, 0.944);</t>
  </si>
  <si>
    <t>INSERT INTO tblWMA (WMADistance, WMARoad, WMAWRTime, WMASex, WMAAge, WMAFactor) VALUES (160.934, 1, 43500, 'F', 17, 0.96);</t>
  </si>
  <si>
    <t>INSERT INTO tblWMA (WMADistance, WMARoad, WMAWRTime, WMASex, WMAAge, WMAFactor) VALUES (160.934, 1, 43500, 'F', 18, 0.9744);</t>
  </si>
  <si>
    <t>INSERT INTO tblWMA (WMADistance, WMARoad, WMAWRTime, WMASex, WMAAge, WMAFactor) VALUES (160.934, 1, 43500, 'F', 19, 0.9856);</t>
  </si>
  <si>
    <t>INSERT INTO tblWMA (WMADistance, WMARoad, WMAWRTime, WMASex, WMAAge, WMAFactor) VALUES (160.934, 1, 43500, 'F', 20, 0.9936);</t>
  </si>
  <si>
    <t>INSERT INTO tblWMA (WMADistance, WMARoad, WMAWRTime, WMASex, WMAAge, WMAFactor) VALUES (160.934, 1, 43500, 'F', 21, 0.9984);</t>
  </si>
  <si>
    <t>INSERT INTO tblWMA (WMADistance, WMARoad, WMAWRTime, WMASex, WMAAge, WMAFactor) VALUES (160.934, 1, 43500, 'F', 22, 1);</t>
  </si>
  <si>
    <t>INSERT INTO tblWMA (WMADistance, WMARoad, WMAWRTime, WMASex, WMAAge, WMAFactor) VALUES (160.934, 1, 43500, 'F', 23, 1);</t>
  </si>
  <si>
    <t>INSERT INTO tblWMA (WMADistance, WMARoad, WMAWRTime, WMASex, WMAAge, WMAFactor) VALUES (160.934, 1, 43500, 'F', 24, 1);</t>
  </si>
  <si>
    <t>INSERT INTO tblWMA (WMADistance, WMARoad, WMAWRTime, WMASex, WMAAge, WMAFactor) VALUES (160.934, 1, 43500, 'F', 25, 1);</t>
  </si>
  <si>
    <t>INSERT INTO tblWMA (WMADistance, WMARoad, WMAWRTime, WMASex, WMAAge, WMAFactor) VALUES (160.934, 1, 43500, 'F', 26, 1);</t>
  </si>
  <si>
    <t>INSERT INTO tblWMA (WMADistance, WMARoad, WMAWRTime, WMASex, WMAAge, WMAFactor) VALUES (160.934, 1, 43500, 'F', 27, 1);</t>
  </si>
  <si>
    <t>INSERT INTO tblWMA (WMADistance, WMARoad, WMAWRTime, WMASex, WMAAge, WMAFactor) VALUES (160.934, 1, 43500, 'F', 28, 1);</t>
  </si>
  <si>
    <t>INSERT INTO tblWMA (WMADistance, WMARoad, WMAWRTime, WMASex, WMAAge, WMAFactor) VALUES (160.934, 1, 43500, 'F', 29, 1);</t>
  </si>
  <si>
    <t>INSERT INTO tblWMA (WMADistance, WMARoad, WMAWRTime, WMASex, WMAAge, WMAFactor) VALUES (160.934, 1, 43500, 'F', 30, 1);</t>
  </si>
  <si>
    <t>INSERT INTO tblWMA (WMADistance, WMARoad, WMAWRTime, WMASex, WMAAge, WMAFactor) VALUES (160.934, 1, 43500, 'F', 31, 1);</t>
  </si>
  <si>
    <t>INSERT INTO tblWMA (WMADistance, WMARoad, WMAWRTime, WMASex, WMAAge, WMAFactor) VALUES (160.934, 1, 43500, 'F', 32, 0.9999);</t>
  </si>
  <si>
    <t>INSERT INTO tblWMA (WMADistance, WMARoad, WMAWRTime, WMASex, WMAAge, WMAFactor) VALUES (160.934, 1, 43500, 'F', 33, 0.9993);</t>
  </si>
  <si>
    <t>INSERT INTO tblWMA (WMADistance, WMARoad, WMAWRTime, WMASex, WMAAge, WMAFactor) VALUES (160.934, 1, 43500, 'F', 34, 0.9981);</t>
  </si>
  <si>
    <t>INSERT INTO tblWMA (WMADistance, WMARoad, WMAWRTime, WMASex, WMAAge, WMAFactor) VALUES (160.934, 1, 43500, 'F', 35, 0.9961);</t>
  </si>
  <si>
    <t>INSERT INTO tblWMA (WMADistance, WMARoad, WMAWRTime, WMASex, WMAAge, WMAFactor) VALUES (160.934, 1, 43500, 'F', 36, 0.9935);</t>
  </si>
  <si>
    <t>INSERT INTO tblWMA (WMADistance, WMARoad, WMAWRTime, WMASex, WMAAge, WMAFactor) VALUES (160.934, 1, 43500, 'F', 37, 0.9902);</t>
  </si>
  <si>
    <t>INSERT INTO tblWMA (WMADistance, WMARoad, WMAWRTime, WMASex, WMAAge, WMAFactor) VALUES (160.934, 1, 43500, 'F', 38, 0.9862);</t>
  </si>
  <si>
    <t>INSERT INTO tblWMA (WMADistance, WMARoad, WMAWRTime, WMASex, WMAAge, WMAFactor) VALUES (160.934, 1, 43500, 'F', 39, 0.9815);</t>
  </si>
  <si>
    <t>INSERT INTO tblWMA (WMADistance, WMARoad, WMAWRTime, WMASex, WMAAge, WMAFactor) VALUES (160.934, 1, 43500, 'F', 40, 0.9762);</t>
  </si>
  <si>
    <t>INSERT INTO tblWMA (WMADistance, WMARoad, WMAWRTime, WMASex, WMAAge, WMAFactor) VALUES (160.934, 1, 43500, 'F', 41, 0.9702);</t>
  </si>
  <si>
    <t>INSERT INTO tblWMA (WMADistance, WMARoad, WMAWRTime, WMASex, WMAAge, WMAFactor) VALUES (160.934, 1, 43500, 'F', 42, 0.9635);</t>
  </si>
  <si>
    <t>INSERT INTO tblWMA (WMADistance, WMARoad, WMAWRTime, WMASex, WMAAge, WMAFactor) VALUES (160.934, 1, 43500, 'F', 43, 0.9562);</t>
  </si>
  <si>
    <t>INSERT INTO tblWMA (WMADistance, WMARoad, WMAWRTime, WMASex, WMAAge, WMAFactor) VALUES (160.934, 1, 43500, 'F', 44, 0.9482);</t>
  </si>
  <si>
    <t>INSERT INTO tblWMA (WMADistance, WMARoad, WMAWRTime, WMASex, WMAAge, WMAFactor) VALUES (160.934, 1, 43500, 'F', 45, 0.9395);</t>
  </si>
  <si>
    <t>INSERT INTO tblWMA (WMADistance, WMARoad, WMAWRTime, WMASex, WMAAge, WMAFactor) VALUES (160.934, 1, 43500, 'F', 46, 0.9301);</t>
  </si>
  <si>
    <t>INSERT INTO tblWMA (WMADistance, WMARoad, WMAWRTime, WMASex, WMAAge, WMAFactor) VALUES (160.934, 1, 43500, 'F', 47, 0.92);</t>
  </si>
  <si>
    <t>INSERT INTO tblWMA (WMADistance, WMARoad, WMAWRTime, WMASex, WMAAge, WMAFactor) VALUES (160.934, 1, 43500, 'F', 48, 0.9093);</t>
  </si>
  <si>
    <t>INSERT INTO tblWMA (WMADistance, WMARoad, WMAWRTime, WMASex, WMAAge, WMAFactor) VALUES (160.934, 1, 43500, 'F', 49, 0.8982);</t>
  </si>
  <si>
    <t>INSERT INTO tblWMA (WMADistance, WMARoad, WMAWRTime, WMASex, WMAAge, WMAFactor) VALUES (160.934, 1, 43500, 'F', 50, 0.8872);</t>
  </si>
  <si>
    <t>INSERT INTO tblWMA (WMADistance, WMARoad, WMAWRTime, WMASex, WMAAge, WMAFactor) VALUES (160.934, 1, 43500, 'F', 51, 0.8761);</t>
  </si>
  <si>
    <t>INSERT INTO tblWMA (WMADistance, WMARoad, WMAWRTime, WMASex, WMAAge, WMAFactor) VALUES (160.934, 1, 43500, 'F', 52, 0.8651);</t>
  </si>
  <si>
    <t>INSERT INTO tblWMA (WMADistance, WMARoad, WMAWRTime, WMASex, WMAAge, WMAFactor) VALUES (160.934, 1, 43500, 'F', 53, 0.854);</t>
  </si>
  <si>
    <t>INSERT INTO tblWMA (WMADistance, WMARoad, WMAWRTime, WMASex, WMAAge, WMAFactor) VALUES (160.934, 1, 43500, 'F', 54, 0.8429);</t>
  </si>
  <si>
    <t>INSERT INTO tblWMA (WMADistance, WMARoad, WMAWRTime, WMASex, WMAAge, WMAFactor) VALUES (160.934, 1, 43500, 'F', 55, 0.8319);</t>
  </si>
  <si>
    <t>INSERT INTO tblWMA (WMADistance, WMARoad, WMAWRTime, WMASex, WMAAge, WMAFactor) VALUES (160.934, 1, 43500, 'F', 56, 0.8208);</t>
  </si>
  <si>
    <t>INSERT INTO tblWMA (WMADistance, WMARoad, WMAWRTime, WMASex, WMAAge, WMAFactor) VALUES (160.934, 1, 43500, 'F', 57, 0.8098);</t>
  </si>
  <si>
    <t>INSERT INTO tblWMA (WMADistance, WMARoad, WMAWRTime, WMASex, WMAAge, WMAFactor) VALUES (160.934, 1, 43500, 'F', 58, 0.7987);</t>
  </si>
  <si>
    <t>INSERT INTO tblWMA (WMADistance, WMARoad, WMAWRTime, WMASex, WMAAge, WMAFactor) VALUES (160.934, 1, 43500, 'F', 59, 0.7876);</t>
  </si>
  <si>
    <t>INSERT INTO tblWMA (WMADistance, WMARoad, WMAWRTime, WMASex, WMAAge, WMAFactor) VALUES (160.934, 1, 43500, 'F', 60, 0.7766);</t>
  </si>
  <si>
    <t>INSERT INTO tblWMA (WMADistance, WMARoad, WMAWRTime, WMASex, WMAAge, WMAFactor) VALUES (160.934, 1, 43500, 'F', 61, 0.7655);</t>
  </si>
  <si>
    <t>INSERT INTO tblWMA (WMADistance, WMARoad, WMAWRTime, WMASex, WMAAge, WMAFactor) VALUES (160.934, 1, 43500, 'F', 62, 0.7545);</t>
  </si>
  <si>
    <t>INSERT INTO tblWMA (WMADistance, WMARoad, WMAWRTime, WMASex, WMAAge, WMAFactor) VALUES (160.934, 1, 43500, 'F', 63, 0.7434);</t>
  </si>
  <si>
    <t>INSERT INTO tblWMA (WMADistance, WMARoad, WMAWRTime, WMASex, WMAAge, WMAFactor) VALUES (160.934, 1, 43500, 'F', 64, 0.7323);</t>
  </si>
  <si>
    <t>INSERT INTO tblWMA (WMADistance, WMARoad, WMAWRTime, WMASex, WMAAge, WMAFactor) VALUES (160.934, 1, 43500, 'F', 65, 0.7213);</t>
  </si>
  <si>
    <t>INSERT INTO tblWMA (WMADistance, WMARoad, WMAWRTime, WMASex, WMAAge, WMAFactor) VALUES (160.934, 1, 43500, 'F', 66, 0.7102);</t>
  </si>
  <si>
    <t>INSERT INTO tblWMA (WMADistance, WMARoad, WMAWRTime, WMASex, WMAAge, WMAFactor) VALUES (160.934, 1, 43500, 'F', 67, 0.6992);</t>
  </si>
  <si>
    <t>INSERT INTO tblWMA (WMADistance, WMARoad, WMAWRTime, WMASex, WMAAge, WMAFactor) VALUES (160.934, 1, 43500, 'F', 68, 0.6881);</t>
  </si>
  <si>
    <t>INSERT INTO tblWMA (WMADistance, WMARoad, WMAWRTime, WMASex, WMAAge, WMAFactor) VALUES (160.934, 1, 43500, 'F', 69, 0.677);</t>
  </si>
  <si>
    <t>INSERT INTO tblWMA (WMADistance, WMARoad, WMAWRTime, WMASex, WMAAge, WMAFactor) VALUES (160.934, 1, 43500, 'F', 70, 0.666);</t>
  </si>
  <si>
    <t>INSERT INTO tblWMA (WMADistance, WMARoad, WMAWRTime, WMASex, WMAAge, WMAFactor) VALUES (160.934, 1, 43500, 'F', 71, 0.6549);</t>
  </si>
  <si>
    <t>INSERT INTO tblWMA (WMADistance, WMARoad, WMAWRTime, WMASex, WMAAge, WMAFactor) VALUES (160.934, 1, 43500, 'F', 72, 0.6439);</t>
  </si>
  <si>
    <t>INSERT INTO tblWMA (WMADistance, WMARoad, WMAWRTime, WMASex, WMAAge, WMAFactor) VALUES (160.934, 1, 43500, 'F', 73, 0.6328);</t>
  </si>
  <si>
    <t>INSERT INTO tblWMA (WMADistance, WMARoad, WMAWRTime, WMASex, WMAAge, WMAFactor) VALUES (160.934, 1, 43500, 'F', 74, 0.6217);</t>
  </si>
  <si>
    <t>INSERT INTO tblWMA (WMADistance, WMARoad, WMAWRTime, WMASex, WMAAge, WMAFactor) VALUES (160.934, 1, 43500, 'F', 75, 0.6103);</t>
  </si>
  <si>
    <t>INSERT INTO tblWMA (WMADistance, WMARoad, WMAWRTime, WMASex, WMAAge, WMAFactor) VALUES (160.934, 1, 43500, 'F', 76, 0.598);</t>
  </si>
  <si>
    <t>INSERT INTO tblWMA (WMADistance, WMARoad, WMAWRTime, WMASex, WMAAge, WMAFactor) VALUES (160.934, 1, 43500, 'F', 77, 0.585);</t>
  </si>
  <si>
    <t>INSERT INTO tblWMA (WMADistance, WMARoad, WMAWRTime, WMASex, WMAAge, WMAFactor) VALUES (160.934, 1, 43500, 'F', 78, 0.5711);</t>
  </si>
  <si>
    <t>INSERT INTO tblWMA (WMADistance, WMARoad, WMAWRTime, WMASex, WMAAge, WMAFactor) VALUES (160.934, 1, 43500, 'F', 79, 0.5564);</t>
  </si>
  <si>
    <t>INSERT INTO tblWMA (WMADistance, WMARoad, WMAWRTime, WMASex, WMAAge, WMAFactor) VALUES (160.934, 1, 43500, 'F', 80, 0.541);</t>
  </si>
  <si>
    <t>INSERT INTO tblWMA (WMADistance, WMARoad, WMAWRTime, WMASex, WMAAge, WMAFactor) VALUES (160.934, 1, 43500, 'F', 81, 0.5247);</t>
  </si>
  <si>
    <t>INSERT INTO tblWMA (WMADistance, WMARoad, WMAWRTime, WMASex, WMAAge, WMAFactor) VALUES (160.934, 1, 43500, 'F', 82, 0.5077);</t>
  </si>
  <si>
    <t>INSERT INTO tblWMA (WMADistance, WMARoad, WMAWRTime, WMASex, WMAAge, WMAFactor) VALUES (160.934, 1, 43500, 'F', 83, 0.4898);</t>
  </si>
  <si>
    <t>INSERT INTO tblWMA (WMADistance, WMARoad, WMAWRTime, WMASex, WMAAge, WMAFactor) VALUES (160.934, 1, 43500, 'F', 84, 0.4711);</t>
  </si>
  <si>
    <t>INSERT INTO tblWMA (WMADistance, WMARoad, WMAWRTime, WMASex, WMAAge, WMAFactor) VALUES (160.934, 1, 43500, 'F', 85, 0.4517);</t>
  </si>
  <si>
    <t>INSERT INTO tblWMA (WMADistance, WMARoad, WMAWRTime, WMASex, WMAAge, WMAFactor) VALUES (160.934, 1, 43500, 'F', 86, 0.4314);</t>
  </si>
  <si>
    <t>INSERT INTO tblWMA (WMADistance, WMARoad, WMAWRTime, WMASex, WMAAge, WMAFactor) VALUES (160.934, 1, 43500, 'F', 87, 0.4104);</t>
  </si>
  <si>
    <t>INSERT INTO tblWMA (WMADistance, WMARoad, WMAWRTime, WMASex, WMAAge, WMAFactor) VALUES (160.934, 1, 43500, 'F', 88, 0.3885);</t>
  </si>
  <si>
    <t>INSERT INTO tblWMA (WMADistance, WMARoad, WMAWRTime, WMASex, WMAAge, WMAFactor) VALUES (160.934, 1, 43500, 'F', 89, 0.3658);</t>
  </si>
  <si>
    <t>INSERT INTO tblWMA (WMADistance, WMARoad, WMAWRTime, WMASex, WMAAge, WMAFactor) VALUES (160.934, 1, 43500, 'F', 90, 0.3424);</t>
  </si>
  <si>
    <t>INSERT INTO tblWMA (WMADistance, WMARoad, WMAWRTime, WMASex, WMAAge, WMAFactor) VALUES (160.934, 1, 43500, 'F', 91, 0.3181);</t>
  </si>
  <si>
    <t>INSERT INTO tblWMA (WMADistance, WMARoad, WMAWRTime, WMASex, WMAAge, WMAFactor) VALUES (160.934, 1, 43500, 'F', 92, 0.2931);</t>
  </si>
  <si>
    <t>INSERT INTO tblWMA (WMADistance, WMARoad, WMAWRTime, WMASex, WMAAge, WMAFactor) VALUES (160.934, 1, 43500, 'F', 93, 0.2672);</t>
  </si>
  <si>
    <t>INSERT INTO tblWMA (WMADistance, WMARoad, WMAWRTime, WMASex, WMAAge, WMAFactor) VALUES (160.934, 1, 43500, 'F', 94, 0.2405);</t>
  </si>
  <si>
    <t>INSERT INTO tblWMA (WMADistance, WMARoad, WMAWRTime, WMASex, WMAAge, WMAFactor) VALUES (160.934, 1, 43500, 'F', 95, 0.2131);</t>
  </si>
  <si>
    <t>INSERT INTO tblWMA (WMADistance, WMARoad, WMAWRTime, WMASex, WMAAge, WMAFactor) VALUES (160.934, 1, 43500, 'F', 96, 0.1848);</t>
  </si>
  <si>
    <t>INSERT INTO tblWMA (WMADistance, WMARoad, WMAWRTime, WMASex, WMAAge, WMAFactor) VALUES (160.934, 1, 43500, 'F', 97, 0.1558);</t>
  </si>
  <si>
    <t>INSERT INTO tblWMA (WMADistance, WMARoad, WMAWRTime, WMASex, WMAAge, WMAFactor) VALUES (160.934, 1, 43500, 'F', 98, 0.1259);</t>
  </si>
  <si>
    <t>INSERT INTO tblWMA (WMADistance, WMARoad, WMAWRTime, WMASex, WMAAge, WMAFactor) VALUES (160.934, 1, 43500, 'F', 99, 0.0952);</t>
  </si>
  <si>
    <t>INSERT INTO tblWMA (WMADistance, WMARoad, WMAWRTime, WMASex, WMAAge, WMAFactor) VALUES (160.934, 1, 43500, 'F', 100, 0.0638);</t>
  </si>
  <si>
    <t>INSERT INTO tblWMA (WMADistance, WMARoad, WMAWRTime, WMASex, WMAAge, WMAFactor) VALUES (200, 1, 57600, 'F', 5, 0.677);</t>
  </si>
  <si>
    <t>INSERT INTO tblWMA (WMADistance, WMARoad, WMAWRTime, WMASex, WMAAge, WMAFactor) VALUES (200, 1, 57600, 'F', 6, 0.7103);</t>
  </si>
  <si>
    <t>INSERT INTO tblWMA (WMADistance, WMARoad, WMAWRTime, WMASex, WMAAge, WMAFactor) VALUES (200, 1, 57600, 'F', 7, 0.7418);</t>
  </si>
  <si>
    <t>INSERT INTO tblWMA (WMADistance, WMARoad, WMAWRTime, WMASex, WMAAge, WMAFactor) VALUES (200, 1, 57600, 'F', 8, 0.7714);</t>
  </si>
  <si>
    <t>INSERT INTO tblWMA (WMADistance, WMARoad, WMAWRTime, WMASex, WMAAge, WMAFactor) VALUES (200, 1, 57600, 'F', 9, 0.7992);</t>
  </si>
  <si>
    <t>INSERT INTO tblWMA (WMADistance, WMARoad, WMAWRTime, WMASex, WMAAge, WMAFactor) VALUES (200, 1, 57600, 'F', 10, 0.8253);</t>
  </si>
  <si>
    <t>INSERT INTO tblWMA (WMADistance, WMARoad, WMAWRTime, WMASex, WMAAge, WMAFactor) VALUES (200, 1, 57600, 'F', 11, 0.8494);</t>
  </si>
  <si>
    <t>INSERT INTO tblWMA (WMADistance, WMARoad, WMAWRTime, WMASex, WMAAge, WMAFactor) VALUES (200, 1, 57600, 'F', 12, 0.8718);</t>
  </si>
  <si>
    <t>INSERT INTO tblWMA (WMADistance, WMARoad, WMAWRTime, WMASex, WMAAge, WMAFactor) VALUES (200, 1, 57600, 'F', 13, 0.8924);</t>
  </si>
  <si>
    <t>INSERT INTO tblWMA (WMADistance, WMARoad, WMAWRTime, WMASex, WMAAge, WMAFactor) VALUES (200, 1, 57600, 'F', 14, 0.9111);</t>
  </si>
  <si>
    <t>INSERT INTO tblWMA (WMADistance, WMARoad, WMAWRTime, WMASex, WMAAge, WMAFactor) VALUES (200, 1, 57600, 'F', 15, 0.928);</t>
  </si>
  <si>
    <t>INSERT INTO tblWMA (WMADistance, WMARoad, WMAWRTime, WMASex, WMAAge, WMAFactor) VALUES (200, 1, 57600, 'F', 16, 0.944);</t>
  </si>
  <si>
    <t>INSERT INTO tblWMA (WMADistance, WMARoad, WMAWRTime, WMASex, WMAAge, WMAFactor) VALUES (200, 1, 57600, 'F', 17, 0.96);</t>
  </si>
  <si>
    <t>INSERT INTO tblWMA (WMADistance, WMARoad, WMAWRTime, WMASex, WMAAge, WMAFactor) VALUES (200, 1, 57600, 'F', 18, 0.9744);</t>
  </si>
  <si>
    <t>INSERT INTO tblWMA (WMADistance, WMARoad, WMAWRTime, WMASex, WMAAge, WMAFactor) VALUES (200, 1, 57600, 'F', 19, 0.9856);</t>
  </si>
  <si>
    <t>INSERT INTO tblWMA (WMADistance, WMARoad, WMAWRTime, WMASex, WMAAge, WMAFactor) VALUES (200, 1, 57600, 'F', 20, 0.9936);</t>
  </si>
  <si>
    <t>INSERT INTO tblWMA (WMADistance, WMARoad, WMAWRTime, WMASex, WMAAge, WMAFactor) VALUES (200, 1, 57600, 'F', 21, 0.9984);</t>
  </si>
  <si>
    <t>INSERT INTO tblWMA (WMADistance, WMARoad, WMAWRTime, WMASex, WMAAge, WMAFactor) VALUES (200, 1, 57600, 'F', 22, 1);</t>
  </si>
  <si>
    <t>INSERT INTO tblWMA (WMADistance, WMARoad, WMAWRTime, WMASex, WMAAge, WMAFactor) VALUES (200, 1, 57600, 'F', 23, 1);</t>
  </si>
  <si>
    <t>INSERT INTO tblWMA (WMADistance, WMARoad, WMAWRTime, WMASex, WMAAge, WMAFactor) VALUES (200, 1, 57600, 'F', 24, 1);</t>
  </si>
  <si>
    <t>INSERT INTO tblWMA (WMADistance, WMARoad, WMAWRTime, WMASex, WMAAge, WMAFactor) VALUES (200, 1, 57600, 'F', 25, 1);</t>
  </si>
  <si>
    <t>INSERT INTO tblWMA (WMADistance, WMARoad, WMAWRTime, WMASex, WMAAge, WMAFactor) VALUES (200, 1, 57600, 'F', 26, 1);</t>
  </si>
  <si>
    <t>INSERT INTO tblWMA (WMADistance, WMARoad, WMAWRTime, WMASex, WMAAge, WMAFactor) VALUES (200, 1, 57600, 'F', 27, 1);</t>
  </si>
  <si>
    <t>INSERT INTO tblWMA (WMADistance, WMARoad, WMAWRTime, WMASex, WMAAge, WMAFactor) VALUES (200, 1, 57600, 'F', 28, 1);</t>
  </si>
  <si>
    <t>INSERT INTO tblWMA (WMADistance, WMARoad, WMAWRTime, WMASex, WMAAge, WMAFactor) VALUES (200, 1, 57600, 'F', 29, 1);</t>
  </si>
  <si>
    <t>INSERT INTO tblWMA (WMADistance, WMARoad, WMAWRTime, WMASex, WMAAge, WMAFactor) VALUES (200, 1, 57600, 'F', 30, 1);</t>
  </si>
  <si>
    <t>INSERT INTO tblWMA (WMADistance, WMARoad, WMAWRTime, WMASex, WMAAge, WMAFactor) VALUES (200, 1, 57600, 'F', 31, 1);</t>
  </si>
  <si>
    <t>INSERT INTO tblWMA (WMADistance, WMARoad, WMAWRTime, WMASex, WMAAge, WMAFactor) VALUES (200, 1, 57600, 'F', 32, 0.9999);</t>
  </si>
  <si>
    <t>INSERT INTO tblWMA (WMADistance, WMARoad, WMAWRTime, WMASex, WMAAge, WMAFactor) VALUES (200, 1, 57600, 'F', 33, 0.9993);</t>
  </si>
  <si>
    <t>INSERT INTO tblWMA (WMADistance, WMARoad, WMAWRTime, WMASex, WMAAge, WMAFactor) VALUES (200, 1, 57600, 'F', 34, 0.9981);</t>
  </si>
  <si>
    <t>INSERT INTO tblWMA (WMADistance, WMARoad, WMAWRTime, WMASex, WMAAge, WMAFactor) VALUES (200, 1, 57600, 'F', 35, 0.9961);</t>
  </si>
  <si>
    <t>INSERT INTO tblWMA (WMADistance, WMARoad, WMAWRTime, WMASex, WMAAge, WMAFactor) VALUES (200, 1, 57600, 'F', 36, 0.9935);</t>
  </si>
  <si>
    <t>INSERT INTO tblWMA (WMADistance, WMARoad, WMAWRTime, WMASex, WMAAge, WMAFactor) VALUES (200, 1, 57600, 'F', 37, 0.9902);</t>
  </si>
  <si>
    <t>INSERT INTO tblWMA (WMADistance, WMARoad, WMAWRTime, WMASex, WMAAge, WMAFactor) VALUES (200, 1, 57600, 'F', 38, 0.9862);</t>
  </si>
  <si>
    <t>INSERT INTO tblWMA (WMADistance, WMARoad, WMAWRTime, WMASex, WMAAge, WMAFactor) VALUES (200, 1, 57600, 'F', 39, 0.9815);</t>
  </si>
  <si>
    <t>INSERT INTO tblWMA (WMADistance, WMARoad, WMAWRTime, WMASex, WMAAge, WMAFactor) VALUES (200, 1, 57600, 'F', 40, 0.9762);</t>
  </si>
  <si>
    <t>INSERT INTO tblWMA (WMADistance, WMARoad, WMAWRTime, WMASex, WMAAge, WMAFactor) VALUES (200, 1, 57600, 'F', 41, 0.9702);</t>
  </si>
  <si>
    <t>INSERT INTO tblWMA (WMADistance, WMARoad, WMAWRTime, WMASex, WMAAge, WMAFactor) VALUES (200, 1, 57600, 'F', 42, 0.9635);</t>
  </si>
  <si>
    <t>INSERT INTO tblWMA (WMADistance, WMARoad, WMAWRTime, WMASex, WMAAge, WMAFactor) VALUES (200, 1, 57600, 'F', 43, 0.9562);</t>
  </si>
  <si>
    <t>INSERT INTO tblWMA (WMADistance, WMARoad, WMAWRTime, WMASex, WMAAge, WMAFactor) VALUES (200, 1, 57600, 'F', 44, 0.9482);</t>
  </si>
  <si>
    <t>INSERT INTO tblWMA (WMADistance, WMARoad, WMAWRTime, WMASex, WMAAge, WMAFactor) VALUES (200, 1, 57600, 'F', 45, 0.9395);</t>
  </si>
  <si>
    <t>INSERT INTO tblWMA (WMADistance, WMARoad, WMAWRTime, WMASex, WMAAge, WMAFactor) VALUES (200, 1, 57600, 'F', 46, 0.9301);</t>
  </si>
  <si>
    <t>INSERT INTO tblWMA (WMADistance, WMARoad, WMAWRTime, WMASex, WMAAge, WMAFactor) VALUES (200, 1, 57600, 'F', 47, 0.92);</t>
  </si>
  <si>
    <t>INSERT INTO tblWMA (WMADistance, WMARoad, WMAWRTime, WMASex, WMAAge, WMAFactor) VALUES (200, 1, 57600, 'F', 48, 0.9093);</t>
  </si>
  <si>
    <t>INSERT INTO tblWMA (WMADistance, WMARoad, WMAWRTime, WMASex, WMAAge, WMAFactor) VALUES (200, 1, 57600, 'F', 49, 0.8982);</t>
  </si>
  <si>
    <t>INSERT INTO tblWMA (WMADistance, WMARoad, WMAWRTime, WMASex, WMAAge, WMAFactor) VALUES (200, 1, 57600, 'F', 50, 0.8872);</t>
  </si>
  <si>
    <t>INSERT INTO tblWMA (WMADistance, WMARoad, WMAWRTime, WMASex, WMAAge, WMAFactor) VALUES (200, 1, 57600, 'F', 51, 0.8761);</t>
  </si>
  <si>
    <t>INSERT INTO tblWMA (WMADistance, WMARoad, WMAWRTime, WMASex, WMAAge, WMAFactor) VALUES (200, 1, 57600, 'F', 52, 0.8651);</t>
  </si>
  <si>
    <t>INSERT INTO tblWMA (WMADistance, WMARoad, WMAWRTime, WMASex, WMAAge, WMAFactor) VALUES (200, 1, 57600, 'F', 53, 0.854);</t>
  </si>
  <si>
    <t>INSERT INTO tblWMA (WMADistance, WMARoad, WMAWRTime, WMASex, WMAAge, WMAFactor) VALUES (200, 1, 57600, 'F', 54, 0.8429);</t>
  </si>
  <si>
    <t>INSERT INTO tblWMA (WMADistance, WMARoad, WMAWRTime, WMASex, WMAAge, WMAFactor) VALUES (200, 1, 57600, 'F', 55, 0.8319);</t>
  </si>
  <si>
    <t>INSERT INTO tblWMA (WMADistance, WMARoad, WMAWRTime, WMASex, WMAAge, WMAFactor) VALUES (200, 1, 57600, 'F', 56, 0.8208);</t>
  </si>
  <si>
    <t>INSERT INTO tblWMA (WMADistance, WMARoad, WMAWRTime, WMASex, WMAAge, WMAFactor) VALUES (200, 1, 57600, 'F', 57, 0.8098);</t>
  </si>
  <si>
    <t>INSERT INTO tblWMA (WMADistance, WMARoad, WMAWRTime, WMASex, WMAAge, WMAFactor) VALUES (200, 1, 57600, 'F', 58, 0.7987);</t>
  </si>
  <si>
    <t>INSERT INTO tblWMA (WMADistance, WMARoad, WMAWRTime, WMASex, WMAAge, WMAFactor) VALUES (200, 1, 57600, 'F', 59, 0.7876);</t>
  </si>
  <si>
    <t>INSERT INTO tblWMA (WMADistance, WMARoad, WMAWRTime, WMASex, WMAAge, WMAFactor) VALUES (200, 1, 57600, 'F', 60, 0.7766);</t>
  </si>
  <si>
    <t>INSERT INTO tblWMA (WMADistance, WMARoad, WMAWRTime, WMASex, WMAAge, WMAFactor) VALUES (200, 1, 57600, 'F', 61, 0.7655);</t>
  </si>
  <si>
    <t>INSERT INTO tblWMA (WMADistance, WMARoad, WMAWRTime, WMASex, WMAAge, WMAFactor) VALUES (200, 1, 57600, 'F', 62, 0.7545);</t>
  </si>
  <si>
    <t>INSERT INTO tblWMA (WMADistance, WMARoad, WMAWRTime, WMASex, WMAAge, WMAFactor) VALUES (200, 1, 57600, 'F', 63, 0.7434);</t>
  </si>
  <si>
    <t>INSERT INTO tblWMA (WMADistance, WMARoad, WMAWRTime, WMASex, WMAAge, WMAFactor) VALUES (200, 1, 57600, 'F', 64, 0.7323);</t>
  </si>
  <si>
    <t>INSERT INTO tblWMA (WMADistance, WMARoad, WMAWRTime, WMASex, WMAAge, WMAFactor) VALUES (200, 1, 57600, 'F', 65, 0.7213);</t>
  </si>
  <si>
    <t>INSERT INTO tblWMA (WMADistance, WMARoad, WMAWRTime, WMASex, WMAAge, WMAFactor) VALUES (200, 1, 57600, 'F', 66, 0.7102);</t>
  </si>
  <si>
    <t>INSERT INTO tblWMA (WMADistance, WMARoad, WMAWRTime, WMASex, WMAAge, WMAFactor) VALUES (200, 1, 57600, 'F', 67, 0.6992);</t>
  </si>
  <si>
    <t>INSERT INTO tblWMA (WMADistance, WMARoad, WMAWRTime, WMASex, WMAAge, WMAFactor) VALUES (200, 1, 57600, 'F', 68, 0.6881);</t>
  </si>
  <si>
    <t>INSERT INTO tblWMA (WMADistance, WMARoad, WMAWRTime, WMASex, WMAAge, WMAFactor) VALUES (200, 1, 57600, 'F', 69, 0.677);</t>
  </si>
  <si>
    <t>INSERT INTO tblWMA (WMADistance, WMARoad, WMAWRTime, WMASex, WMAAge, WMAFactor) VALUES (200, 1, 57600, 'F', 70, 0.666);</t>
  </si>
  <si>
    <t>INSERT INTO tblWMA (WMADistance, WMARoad, WMAWRTime, WMASex, WMAAge, WMAFactor) VALUES (200, 1, 57600, 'F', 71, 0.6549);</t>
  </si>
  <si>
    <t>INSERT INTO tblWMA (WMADistance, WMARoad, WMAWRTime, WMASex, WMAAge, WMAFactor) VALUES (200, 1, 57600, 'F', 72, 0.6439);</t>
  </si>
  <si>
    <t>INSERT INTO tblWMA (WMADistance, WMARoad, WMAWRTime, WMASex, WMAAge, WMAFactor) VALUES (200, 1, 57600, 'F', 73, 0.6328);</t>
  </si>
  <si>
    <t>INSERT INTO tblWMA (WMADistance, WMARoad, WMAWRTime, WMASex, WMAAge, WMAFactor) VALUES (200, 1, 57600, 'F', 74, 0.6217);</t>
  </si>
  <si>
    <t>INSERT INTO tblWMA (WMADistance, WMARoad, WMAWRTime, WMASex, WMAAge, WMAFactor) VALUES (200, 1, 57600, 'F', 75, 0.6103);</t>
  </si>
  <si>
    <t>INSERT INTO tblWMA (WMADistance, WMARoad, WMAWRTime, WMASex, WMAAge, WMAFactor) VALUES (200, 1, 57600, 'F', 76, 0.598);</t>
  </si>
  <si>
    <t>INSERT INTO tblWMA (WMADistance, WMARoad, WMAWRTime, WMASex, WMAAge, WMAFactor) VALUES (200, 1, 57600, 'F', 77, 0.585);</t>
  </si>
  <si>
    <t>INSERT INTO tblWMA (WMADistance, WMARoad, WMAWRTime, WMASex, WMAAge, WMAFactor) VALUES (200, 1, 57600, 'F', 78, 0.5711);</t>
  </si>
  <si>
    <t>INSERT INTO tblWMA (WMADistance, WMARoad, WMAWRTime, WMASex, WMAAge, WMAFactor) VALUES (200, 1, 57600, 'F', 79, 0.5564);</t>
  </si>
  <si>
    <t>INSERT INTO tblWMA (WMADistance, WMARoad, WMAWRTime, WMASex, WMAAge, WMAFactor) VALUES (200, 1, 57600, 'F', 80, 0.541);</t>
  </si>
  <si>
    <t>INSERT INTO tblWMA (WMADistance, WMARoad, WMAWRTime, WMASex, WMAAge, WMAFactor) VALUES (200, 1, 57600, 'F', 81, 0.5247);</t>
  </si>
  <si>
    <t>INSERT INTO tblWMA (WMADistance, WMARoad, WMAWRTime, WMASex, WMAAge, WMAFactor) VALUES (200, 1, 57600, 'F', 82, 0.5077);</t>
  </si>
  <si>
    <t>INSERT INTO tblWMA (WMADistance, WMARoad, WMAWRTime, WMASex, WMAAge, WMAFactor) VALUES (200, 1, 57600, 'F', 83, 0.4898);</t>
  </si>
  <si>
    <t>INSERT INTO tblWMA (WMADistance, WMARoad, WMAWRTime, WMASex, WMAAge, WMAFactor) VALUES (200, 1, 57600, 'F', 84, 0.4711);</t>
  </si>
  <si>
    <t>INSERT INTO tblWMA (WMADistance, WMARoad, WMAWRTime, WMASex, WMAAge, WMAFactor) VALUES (200, 1, 57600, 'F', 85, 0.4517);</t>
  </si>
  <si>
    <t>INSERT INTO tblWMA (WMADistance, WMARoad, WMAWRTime, WMASex, WMAAge, WMAFactor) VALUES (200, 1, 57600, 'F', 86, 0.4314);</t>
  </si>
  <si>
    <t>INSERT INTO tblWMA (WMADistance, WMARoad, WMAWRTime, WMASex, WMAAge, WMAFactor) VALUES (200, 1, 57600, 'F', 87, 0.4104);</t>
  </si>
  <si>
    <t>INSERT INTO tblWMA (WMADistance, WMARoad, WMAWRTime, WMASex, WMAAge, WMAFactor) VALUES (200, 1, 57600, 'F', 88, 0.3885);</t>
  </si>
  <si>
    <t>INSERT INTO tblWMA (WMADistance, WMARoad, WMAWRTime, WMASex, WMAAge, WMAFactor) VALUES (200, 1, 57600, 'F', 89, 0.3658);</t>
  </si>
  <si>
    <t>INSERT INTO tblWMA (WMADistance, WMARoad, WMAWRTime, WMASex, WMAAge, WMAFactor) VALUES (200, 1, 57600, 'F', 90, 0.3424);</t>
  </si>
  <si>
    <t>INSERT INTO tblWMA (WMADistance, WMARoad, WMAWRTime, WMASex, WMAAge, WMAFactor) VALUES (200, 1, 57600, 'F', 91, 0.3181);</t>
  </si>
  <si>
    <t>INSERT INTO tblWMA (WMADistance, WMARoad, WMAWRTime, WMASex, WMAAge, WMAFactor) VALUES (200, 1, 57600, 'F', 92, 0.2931);</t>
  </si>
  <si>
    <t>INSERT INTO tblWMA (WMADistance, WMARoad, WMAWRTime, WMASex, WMAAge, WMAFactor) VALUES (200, 1, 57600, 'F', 93, 0.2672);</t>
  </si>
  <si>
    <t>INSERT INTO tblWMA (WMADistance, WMARoad, WMAWRTime, WMASex, WMAAge, WMAFactor) VALUES (200, 1, 57600, 'F', 94, 0.2405);</t>
  </si>
  <si>
    <t>INSERT INTO tblWMA (WMADistance, WMARoad, WMAWRTime, WMASex, WMAAge, WMAFactor) VALUES (200, 1, 57600, 'F', 95, 0.2131);</t>
  </si>
  <si>
    <t>INSERT INTO tblWMA (WMADistance, WMARoad, WMAWRTime, WMASex, WMAAge, WMAFactor) VALUES (200, 1, 57600, 'F', 96, 0.1848);</t>
  </si>
  <si>
    <t>INSERT INTO tblWMA (WMADistance, WMARoad, WMAWRTime, WMASex, WMAAge, WMAFactor) VALUES (200, 1, 57600, 'F', 97, 0.1558);</t>
  </si>
  <si>
    <t>INSERT INTO tblWMA (WMADistance, WMARoad, WMAWRTime, WMASex, WMAAge, WMAFactor) VALUES (200, 1, 57600, 'F', 98, 0.1259);</t>
  </si>
  <si>
    <t>INSERT INTO tblWMA (WMADistance, WMARoad, WMAWRTime, WMASex, WMAAge, WMAFactor) VALUES (200, 1, 57600, 'F', 99, 0.0952);</t>
  </si>
  <si>
    <t>INSERT INTO tblWMA (WMADistance, WMARoad, WMAWRTime, WMASex, WMAAge, WMAFactor) VALUES (200, 1, 57600, 'F', 100, 0.0638);</t>
  </si>
  <si>
    <t>INSERT INTO tblWMA (WMADistance, WMARoad, WMAWRTime, WMASex, WMAAge, WMAFactor) VALUES (1.609, 1, 227, 'M', 5, 0.6062);</t>
  </si>
  <si>
    <t>INSERT INTO tblWMA (WMADistance, WMARoad, WMAWRTime, WMASex, WMAAge, WMAFactor) VALUES (1.609, 1, 227, 'M', 6, 0.6602);</t>
  </si>
  <si>
    <t>INSERT INTO tblWMA (WMADistance, WMARoad, WMAWRTime, WMASex, WMAAge, WMAFactor) VALUES (1.609, 1, 227, 'M', 7, 0.7102);</t>
  </si>
  <si>
    <t>INSERT INTO tblWMA (WMADistance, WMARoad, WMAWRTime, WMASex, WMAAge, WMAFactor) VALUES (1.609, 1, 227, 'M', 8, 0.7562);</t>
  </si>
  <si>
    <t>INSERT INTO tblWMA (WMADistance, WMARoad, WMAWRTime, WMASex, WMAAge, WMAFactor) VALUES (1.609, 1, 227, 'M', 9, 0.7982);</t>
  </si>
  <si>
    <t>INSERT INTO tblWMA (WMADistance, WMARoad, WMAWRTime, WMASex, WMAAge, WMAFactor) VALUES (1.609, 1, 227, 'M', 10, 0.8362);</t>
  </si>
  <si>
    <t>INSERT INTO tblWMA (WMADistance, WMARoad, WMAWRTime, WMASex, WMAAge, WMAFactor) VALUES (1.609, 1, 227, 'M', 11, 0.8702);</t>
  </si>
  <si>
    <t>INSERT INTO tblWMA (WMADistance, WMARoad, WMAWRTime, WMASex, WMAAge, WMAFactor) VALUES (1.609, 1, 227, 'M', 12, 0.9002);</t>
  </si>
  <si>
    <t>INSERT INTO tblWMA (WMADistance, WMARoad, WMAWRTime, WMASex, WMAAge, WMAFactor) VALUES (1.609, 1, 227, 'M', 13, 0.9262);</t>
  </si>
  <si>
    <t>INSERT INTO tblWMA (WMADistance, WMARoad, WMAWRTime, WMASex, WMAAge, WMAFactor) VALUES (1.609, 1, 227, 'M', 14, 0.9482);</t>
  </si>
  <si>
    <t>INSERT INTO tblWMA (WMADistance, WMARoad, WMAWRTime, WMASex, WMAAge, WMAFactor) VALUES (1.609, 1, 227, 'M', 15, 0.9662);</t>
  </si>
  <si>
    <t>INSERT INTO tblWMA (WMADistance, WMARoad, WMAWRTime, WMASex, WMAAge, WMAFactor) VALUES (1.609, 1, 227, 'M', 16, 0.9802);</t>
  </si>
  <si>
    <t>INSERT INTO tblWMA (WMADistance, WMARoad, WMAWRTime, WMASex, WMAAge, WMAFactor) VALUES (1.609, 1, 227, 'M', 17, 0.9922);</t>
  </si>
  <si>
    <t>INSERT INTO tblWMA (WMADistance, WMARoad, WMAWRTime, WMASex, WMAAge, WMAFactor) VALUES (1.609, 1, 227, 'M', 18, 0.9996);</t>
  </si>
  <si>
    <t>INSERT INTO tblWMA (WMADistance, WMARoad, WMAWRTime, WMASex, WMAAge, WMAFactor) VALUES (1.609, 1, 227, 'M', 19, 1);</t>
  </si>
  <si>
    <t>INSERT INTO tblWMA (WMADistance, WMARoad, WMAWRTime, WMASex, WMAAge, WMAFactor) VALUES (1.609, 1, 227, 'M', 20, 1);</t>
  </si>
  <si>
    <t>INSERT INTO tblWMA (WMADistance, WMARoad, WMAWRTime, WMASex, WMAAge, WMAFactor) VALUES (1.609, 1, 227, 'M', 21, 1);</t>
  </si>
  <si>
    <t>INSERT INTO tblWMA (WMADistance, WMARoad, WMAWRTime, WMASex, WMAAge, WMAFactor) VALUES (1.609, 1, 227, 'M', 22, 1);</t>
  </si>
  <si>
    <t>INSERT INTO tblWMA (WMADistance, WMARoad, WMAWRTime, WMASex, WMAAge, WMAFactor) VALUES (1.609, 1, 227, 'M', 23, 1);</t>
  </si>
  <si>
    <t>INSERT INTO tblWMA (WMADistance, WMARoad, WMAWRTime, WMASex, WMAAge, WMAFactor) VALUES (1.609, 1, 227, 'M', 24, 1);</t>
  </si>
  <si>
    <t>INSERT INTO tblWMA (WMADistance, WMARoad, WMAWRTime, WMASex, WMAAge, WMAFactor) VALUES (1.609, 1, 227, 'M', 25, 1);</t>
  </si>
  <si>
    <t>INSERT INTO tblWMA (WMADistance, WMARoad, WMAWRTime, WMASex, WMAAge, WMAFactor) VALUES (1.609, 1, 227, 'M', 26, 1);</t>
  </si>
  <si>
    <t>INSERT INTO tblWMA (WMADistance, WMARoad, WMAWRTime, WMASex, WMAAge, WMAFactor) VALUES (1.609, 1, 227, 'M', 27, 1);</t>
  </si>
  <si>
    <t>INSERT INTO tblWMA (WMADistance, WMARoad, WMAWRTime, WMASex, WMAAge, WMAFactor) VALUES (1.609, 1, 227, 'M', 28, 1);</t>
  </si>
  <si>
    <t>INSERT INTO tblWMA (WMADistance, WMARoad, WMAWRTime, WMASex, WMAAge, WMAFactor) VALUES (1.609, 1, 227, 'M', 29, 0.9999);</t>
  </si>
  <si>
    <t>INSERT INTO tblWMA (WMADistance, WMARoad, WMAWRTime, WMASex, WMAAge, WMAFactor) VALUES (1.609, 1, 227, 'M', 30, 0.9992);</t>
  </si>
  <si>
    <t>INSERT INTO tblWMA (WMADistance, WMARoad, WMAWRTime, WMASex, WMAAge, WMAFactor) VALUES (1.609, 1, 227, 'M', 31, 0.9976);</t>
  </si>
  <si>
    <t>INSERT INTO tblWMA (WMADistance, WMARoad, WMAWRTime, WMASex, WMAAge, WMAFactor) VALUES (1.609, 1, 227, 'M', 32, 0.9953);</t>
  </si>
  <si>
    <t>INSERT INTO tblWMA (WMADistance, WMARoad, WMAWRTime, WMASex, WMAAge, WMAFactor) VALUES (1.609, 1, 227, 'M', 33, 0.992);</t>
  </si>
  <si>
    <t>INSERT INTO tblWMA (WMADistance, WMARoad, WMAWRTime, WMASex, WMAAge, WMAFactor) VALUES (1.609, 1, 227, 'M', 34, 0.988);</t>
  </si>
  <si>
    <t>INSERT INTO tblWMA (WMADistance, WMARoad, WMAWRTime, WMASex, WMAAge, WMAFactor) VALUES (1.609, 1, 227, 'M', 35, 0.9832);</t>
  </si>
  <si>
    <t>INSERT INTO tblWMA (WMADistance, WMARoad, WMAWRTime, WMASex, WMAAge, WMAFactor) VALUES (1.609, 1, 227, 'M', 36, 0.9775);</t>
  </si>
  <si>
    <t>INSERT INTO tblWMA (WMADistance, WMARoad, WMAWRTime, WMASex, WMAAge, WMAFactor) VALUES (1.609, 1, 227, 'M', 37, 0.971);</t>
  </si>
  <si>
    <t>INSERT INTO tblWMA (WMADistance, WMARoad, WMAWRTime, WMASex, WMAAge, WMAFactor) VALUES (1.609, 1, 227, 'M', 38, 0.9641);</t>
  </si>
  <si>
    <t>INSERT INTO tblWMA (WMADistance, WMARoad, WMAWRTime, WMASex, WMAAge, WMAFactor) VALUES (1.609, 1, 227, 'M', 39, 0.9572);</t>
  </si>
  <si>
    <t>INSERT INTO tblWMA (WMADistance, WMARoad, WMAWRTime, WMASex, WMAAge, WMAFactor) VALUES (1.609, 1, 227, 'M', 40, 0.9503);</t>
  </si>
  <si>
    <t>INSERT INTO tblWMA (WMADistance, WMARoad, WMAWRTime, WMASex, WMAAge, WMAFactor) VALUES (1.609, 1, 227, 'M', 41, 0.9434);</t>
  </si>
  <si>
    <t>INSERT INTO tblWMA (WMADistance, WMARoad, WMAWRTime, WMASex, WMAAge, WMAFactor) VALUES (1.609, 1, 227, 'M', 42, 0.9365);</t>
  </si>
  <si>
    <t>INSERT INTO tblWMA (WMADistance, WMARoad, WMAWRTime, WMASex, WMAAge, WMAFactor) VALUES (1.609, 1, 227, 'M', 43, 0.9296);</t>
  </si>
  <si>
    <t>INSERT INTO tblWMA (WMADistance, WMARoad, WMAWRTime, WMASex, WMAAge, WMAFactor) VALUES (1.609, 1, 227, 'M', 44, 0.9227);</t>
  </si>
  <si>
    <t>INSERT INTO tblWMA (WMADistance, WMARoad, WMAWRTime, WMASex, WMAAge, WMAFactor) VALUES (1.609, 1, 227, 'M', 45, 0.9158);</t>
  </si>
  <si>
    <t>INSERT INTO tblWMA (WMADistance, WMARoad, WMAWRTime, WMASex, WMAAge, WMAFactor) VALUES (1.609, 1, 227, 'M', 46, 0.9089);</t>
  </si>
  <si>
    <t>INSERT INTO tblWMA (WMADistance, WMARoad, WMAWRTime, WMASex, WMAAge, WMAFactor) VALUES (1.609, 1, 227, 'M', 47, 0.902);</t>
  </si>
  <si>
    <t>INSERT INTO tblWMA (WMADistance, WMARoad, WMAWRTime, WMASex, WMAAge, WMAFactor) VALUES (1.609, 1, 227, 'M', 48, 0.8951);</t>
  </si>
  <si>
    <t>INSERT INTO tblWMA (WMADistance, WMARoad, WMAWRTime, WMASex, WMAAge, WMAFactor) VALUES (1.609, 1, 227, 'M', 49, 0.8882);</t>
  </si>
  <si>
    <t>INSERT INTO tblWMA (WMADistance, WMARoad, WMAWRTime, WMASex, WMAAge, WMAFactor) VALUES (1.609, 1, 227, 'M', 50, 0.8813);</t>
  </si>
  <si>
    <t>INSERT INTO tblWMA (WMADistance, WMARoad, WMAWRTime, WMASex, WMAAge, WMAFactor) VALUES (1.609, 1, 227, 'M', 51, 0.8744);</t>
  </si>
  <si>
    <t>INSERT INTO tblWMA (WMADistance, WMARoad, WMAWRTime, WMASex, WMAAge, WMAFactor) VALUES (1.609, 1, 227, 'M', 52, 0.8675);</t>
  </si>
  <si>
    <t>INSERT INTO tblWMA (WMADistance, WMARoad, WMAWRTime, WMASex, WMAAge, WMAFactor) VALUES (1.609, 1, 227, 'M', 53, 0.8606);</t>
  </si>
  <si>
    <t>INSERT INTO tblWMA (WMADistance, WMARoad, WMAWRTime, WMASex, WMAAge, WMAFactor) VALUES (1.609, 1, 227, 'M', 54, 0.8537);</t>
  </si>
  <si>
    <t>INSERT INTO tblWMA (WMADistance, WMARoad, WMAWRTime, WMASex, WMAAge, WMAFactor) VALUES (1.609, 1, 227, 'M', 55, 0.8468);</t>
  </si>
  <si>
    <t>INSERT INTO tblWMA (WMADistance, WMARoad, WMAWRTime, WMASex, WMAAge, WMAFactor) VALUES (1.609, 1, 227, 'M', 56, 0.8399);</t>
  </si>
  <si>
    <t>INSERT INTO tblWMA (WMADistance, WMARoad, WMAWRTime, WMASex, WMAAge, WMAFactor) VALUES (1.609, 1, 227, 'M', 57, 0.833);</t>
  </si>
  <si>
    <t>INSERT INTO tblWMA (WMADistance, WMARoad, WMAWRTime, WMASex, WMAAge, WMAFactor) VALUES (1.609, 1, 227, 'M', 58, 0.8261);</t>
  </si>
  <si>
    <t>INSERT INTO tblWMA (WMADistance, WMARoad, WMAWRTime, WMASex, WMAAge, WMAFactor) VALUES (1.609, 1, 227, 'M', 59, 0.8192);</t>
  </si>
  <si>
    <t>INSERT INTO tblWMA (WMADistance, WMARoad, WMAWRTime, WMASex, WMAAge, WMAFactor) VALUES (1.609, 1, 227, 'M', 60, 0.8123);</t>
  </si>
  <si>
    <t>INSERT INTO tblWMA (WMADistance, WMARoad, WMAWRTime, WMASex, WMAAge, WMAFactor) VALUES (1.609, 1, 227, 'M', 61, 0.8054);</t>
  </si>
  <si>
    <t>INSERT INTO tblWMA (WMADistance, WMARoad, WMAWRTime, WMASex, WMAAge, WMAFactor) VALUES (1.609, 1, 227, 'M', 62, 0.7985);</t>
  </si>
  <si>
    <t>INSERT INTO tblWMA (WMADistance, WMARoad, WMAWRTime, WMASex, WMAAge, WMAFactor) VALUES (1.609, 1, 227, 'M', 63, 0.7916);</t>
  </si>
  <si>
    <t>INSERT INTO tblWMA (WMADistance, WMARoad, WMAWRTime, WMASex, WMAAge, WMAFactor) VALUES (1.609, 1, 227, 'M', 64, 0.7847);</t>
  </si>
  <si>
    <t>INSERT INTO tblWMA (WMADistance, WMARoad, WMAWRTime, WMASex, WMAAge, WMAFactor) VALUES (1.609, 1, 227, 'M', 65, 0.7778);</t>
  </si>
  <si>
    <t>INSERT INTO tblWMA (WMADistance, WMARoad, WMAWRTime, WMASex, WMAAge, WMAFactor) VALUES (1.609, 1, 227, 'M', 66, 0.7709);</t>
  </si>
  <si>
    <t>INSERT INTO tblWMA (WMADistance, WMARoad, WMAWRTime, WMASex, WMAAge, WMAFactor) VALUES (1.609, 1, 227, 'M', 67, 0.764);</t>
  </si>
  <si>
    <t>INSERT INTO tblWMA (WMADistance, WMARoad, WMAWRTime, WMASex, WMAAge, WMAFactor) VALUES (1.609, 1, 227, 'M', 68, 0.7568);</t>
  </si>
  <si>
    <t>INSERT INTO tblWMA (WMADistance, WMARoad, WMAWRTime, WMASex, WMAAge, WMAFactor) VALUES (1.609, 1, 227, 'M', 69, 0.749);</t>
  </si>
  <si>
    <t>INSERT INTO tblWMA (WMADistance, WMARoad, WMAWRTime, WMASex, WMAAge, WMAFactor) VALUES (1.609, 1, 227, 'M', 70, 0.7406);</t>
  </si>
  <si>
    <t>INSERT INTO tblWMA (WMADistance, WMARoad, WMAWRTime, WMASex, WMAAge, WMAFactor) VALUES (1.609, 1, 227, 'M', 71, 0.7315);</t>
  </si>
  <si>
    <t>INSERT INTO tblWMA (WMADistance, WMARoad, WMAWRTime, WMASex, WMAAge, WMAFactor) VALUES (1.609, 1, 227, 'M', 72, 0.7219);</t>
  </si>
  <si>
    <t>INSERT INTO tblWMA (WMADistance, WMARoad, WMAWRTime, WMASex, WMAAge, WMAFactor) VALUES (1.609, 1, 227, 'M', 73, 0.7116);</t>
  </si>
  <si>
    <t>INSERT INTO tblWMA (WMADistance, WMARoad, WMAWRTime, WMASex, WMAAge, WMAFactor) VALUES (1.609, 1, 227, 'M', 74, 0.7008);</t>
  </si>
  <si>
    <t>INSERT INTO tblWMA (WMADistance, WMARoad, WMAWRTime, WMASex, WMAAge, WMAFactor) VALUES (1.609, 1, 227, 'M', 75, 0.6893);</t>
  </si>
  <si>
    <t>INSERT INTO tblWMA (WMADistance, WMARoad, WMAWRTime, WMASex, WMAAge, WMAFactor) VALUES (1.609, 1, 227, 'M', 76, 0.6772);</t>
  </si>
  <si>
    <t>INSERT INTO tblWMA (WMADistance, WMARoad, WMAWRTime, WMASex, WMAAge, WMAFactor) VALUES (1.609, 1, 227, 'M', 77, 0.6645);</t>
  </si>
  <si>
    <t>INSERT INTO tblWMA (WMADistance, WMARoad, WMAWRTime, WMASex, WMAAge, WMAFactor) VALUES (1.609, 1, 227, 'M', 78, 0.6512);</t>
  </si>
  <si>
    <t>INSERT INTO tblWMA (WMADistance, WMARoad, WMAWRTime, WMASex, WMAAge, WMAFactor) VALUES (1.609, 1, 227, 'M', 79, 0.6373);</t>
  </si>
  <si>
    <t>INSERT INTO tblWMA (WMADistance, WMARoad, WMAWRTime, WMASex, WMAAge, WMAFactor) VALUES (1.609, 1, 227, 'M', 80, 0.6228);</t>
  </si>
  <si>
    <t>INSERT INTO tblWMA (WMADistance, WMARoad, WMAWRTime, WMASex, WMAAge, WMAFactor) VALUES (1.609, 1, 227, 'M', 81, 0.6076);</t>
  </si>
  <si>
    <t>INSERT INTO tblWMA (WMADistance, WMARoad, WMAWRTime, WMASex, WMAAge, WMAFactor) VALUES (1.609, 1, 227, 'M', 82, 0.5919);</t>
  </si>
  <si>
    <t>INSERT INTO tblWMA (WMADistance, WMARoad, WMAWRTime, WMASex, WMAAge, WMAFactor) VALUES (1.609, 1, 227, 'M', 83, 0.5755);</t>
  </si>
  <si>
    <t>INSERT INTO tblWMA (WMADistance, WMARoad, WMAWRTime, WMASex, WMAAge, WMAFactor) VALUES (1.609, 1, 227, 'M', 84, 0.5586);</t>
  </si>
  <si>
    <t>INSERT INTO tblWMA (WMADistance, WMARoad, WMAWRTime, WMASex, WMAAge, WMAFactor) VALUES (1.609, 1, 227, 'M', 85, 0.541);</t>
  </si>
  <si>
    <t>INSERT INTO tblWMA (WMADistance, WMARoad, WMAWRTime, WMASex, WMAAge, WMAFactor) VALUES (1.609, 1, 227, 'M', 86, 0.5228);</t>
  </si>
  <si>
    <t>INSERT INTO tblWMA (WMADistance, WMARoad, WMAWRTime, WMASex, WMAAge, WMAFactor) VALUES (1.609, 1, 227, 'M', 87, 0.504);</t>
  </si>
  <si>
    <t>INSERT INTO tblWMA (WMADistance, WMARoad, WMAWRTime, WMASex, WMAAge, WMAFactor) VALUES (1.609, 1, 227, 'M', 88, 0.4846);</t>
  </si>
  <si>
    <t>INSERT INTO tblWMA (WMADistance, WMARoad, WMAWRTime, WMASex, WMAAge, WMAFactor) VALUES (1.609, 1, 227, 'M', 89, 0.4646);</t>
  </si>
  <si>
    <t>INSERT INTO tblWMA (WMADistance, WMARoad, WMAWRTime, WMASex, WMAAge, WMAFactor) VALUES (1.609, 1, 227, 'M', 90, 0.444);</t>
  </si>
  <si>
    <t>INSERT INTO tblWMA (WMADistance, WMARoad, WMAWRTime, WMASex, WMAAge, WMAFactor) VALUES (1.609, 1, 227, 'M', 91, 0.4227);</t>
  </si>
  <si>
    <t>INSERT INTO tblWMA (WMADistance, WMARoad, WMAWRTime, WMASex, WMAAge, WMAFactor) VALUES (1.609, 1, 227, 'M', 92, 0.4009);</t>
  </si>
  <si>
    <t>INSERT INTO tblWMA (WMADistance, WMARoad, WMAWRTime, WMASex, WMAAge, WMAFactor) VALUES (1.609, 1, 227, 'M', 93, 0.3784);</t>
  </si>
  <si>
    <t>INSERT INTO tblWMA (WMADistance, WMARoad, WMAWRTime, WMASex, WMAAge, WMAFactor) VALUES (1.609, 1, 227, 'M', 94, 0.3554);</t>
  </si>
  <si>
    <t>INSERT INTO tblWMA (WMADistance, WMARoad, WMAWRTime, WMASex, WMAAge, WMAFactor) VALUES (1.609, 1, 227, 'M', 95, 0.3317);</t>
  </si>
  <si>
    <t>INSERT INTO tblWMA (WMADistance, WMARoad, WMAWRTime, WMASex, WMAAge, WMAFactor) VALUES (1.609, 1, 227, 'M', 96, 0.3074);</t>
  </si>
  <si>
    <t>INSERT INTO tblWMA (WMADistance, WMARoad, WMAWRTime, WMASex, WMAAge, WMAFactor) VALUES (1.609, 1, 227, 'M', 97, 0.2825);</t>
  </si>
  <si>
    <t>INSERT INTO tblWMA (WMADistance, WMARoad, WMAWRTime, WMASex, WMAAge, WMAFactor) VALUES (1.609, 1, 227, 'M', 98, 0.257);</t>
  </si>
  <si>
    <t>INSERT INTO tblWMA (WMADistance, WMARoad, WMAWRTime, WMASex, WMAAge, WMAFactor) VALUES (1.609, 1, 227, 'M', 99, 0.2309);</t>
  </si>
  <si>
    <t>INSERT INTO tblWMA (WMADistance, WMARoad, WMAWRTime, WMASex, WMAAge, WMAFactor) VALUES (1.609, 1, 227, 'M', 100, 0.2042);</t>
  </si>
  <si>
    <t>INSERT INTO tblWMA (WMADistance, WMARoad, WMAWRTime, WMASex, WMAAge, WMAFactor) VALUES (5, 1, 771, 'M', 5, 0.6062);</t>
  </si>
  <si>
    <t>INSERT INTO tblWMA (WMADistance, WMARoad, WMAWRTime, WMASex, WMAAge, WMAFactor) VALUES (5, 1, 771, 'M', 6, 0.6602);</t>
  </si>
  <si>
    <t>INSERT INTO tblWMA (WMADistance, WMARoad, WMAWRTime, WMASex, WMAAge, WMAFactor) VALUES (5, 1, 771, 'M', 7, 0.7102);</t>
  </si>
  <si>
    <t>INSERT INTO tblWMA (WMADistance, WMARoad, WMAWRTime, WMASex, WMAAge, WMAFactor) VALUES (5, 1, 771, 'M', 8, 0.7562);</t>
  </si>
  <si>
    <t>INSERT INTO tblWMA (WMADistance, WMARoad, WMAWRTime, WMASex, WMAAge, WMAFactor) VALUES (5, 1, 771, 'M', 9, 0.7982);</t>
  </si>
  <si>
    <t>INSERT INTO tblWMA (WMADistance, WMARoad, WMAWRTime, WMASex, WMAAge, WMAFactor) VALUES (5, 1, 771, 'M', 10, 0.8362);</t>
  </si>
  <si>
    <t>INSERT INTO tblWMA (WMADistance, WMARoad, WMAWRTime, WMASex, WMAAge, WMAFactor) VALUES (5, 1, 771, 'M', 11, 0.8702);</t>
  </si>
  <si>
    <t>INSERT INTO tblWMA (WMADistance, WMARoad, WMAWRTime, WMASex, WMAAge, WMAFactor) VALUES (5, 1, 771, 'M', 12, 0.9002);</t>
  </si>
  <si>
    <t>INSERT INTO tblWMA (WMADistance, WMARoad, WMAWRTime, WMASex, WMAAge, WMAFactor) VALUES (5, 1, 771, 'M', 13, 0.9262);</t>
  </si>
  <si>
    <t>INSERT INTO tblWMA (WMADistance, WMARoad, WMAWRTime, WMASex, WMAAge, WMAFactor) VALUES (5, 1, 771, 'M', 14, 0.9482);</t>
  </si>
  <si>
    <t>INSERT INTO tblWMA (WMADistance, WMARoad, WMAWRTime, WMASex, WMAAge, WMAFactor) VALUES (5, 1, 771, 'M', 15, 0.9662);</t>
  </si>
  <si>
    <t>INSERT INTO tblWMA (WMADistance, WMARoad, WMAWRTime, WMASex, WMAAge, WMAFactor) VALUES (5, 1, 771, 'M', 16, 0.9802);</t>
  </si>
  <si>
    <t>INSERT INTO tblWMA (WMADistance, WMARoad, WMAWRTime, WMASex, WMAAge, WMAFactor) VALUES (5, 1, 771, 'M', 17, 0.9922);</t>
  </si>
  <si>
    <t>INSERT INTO tblWMA (WMADistance, WMARoad, WMAWRTime, WMASex, WMAAge, WMAFactor) VALUES (5, 1, 771, 'M', 18, 0.9996);</t>
  </si>
  <si>
    <t>INSERT INTO tblWMA (WMADistance, WMARoad, WMAWRTime, WMASex, WMAAge, WMAFactor) VALUES (5, 1, 771, 'M', 19, 1);</t>
  </si>
  <si>
    <t>INSERT INTO tblWMA (WMADistance, WMARoad, WMAWRTime, WMASex, WMAAge, WMAFactor) VALUES (5, 1, 771, 'M', 20, 1);</t>
  </si>
  <si>
    <t>INSERT INTO tblWMA (WMADistance, WMARoad, WMAWRTime, WMASex, WMAAge, WMAFactor) VALUES (5, 1, 771, 'M', 21, 1);</t>
  </si>
  <si>
    <t>INSERT INTO tblWMA (WMADistance, WMARoad, WMAWRTime, WMASex, WMAAge, WMAFactor) VALUES (5, 1, 771, 'M', 22, 1);</t>
  </si>
  <si>
    <t>INSERT INTO tblWMA (WMADistance, WMARoad, WMAWRTime, WMASex, WMAAge, WMAFactor) VALUES (5, 1, 771, 'M', 23, 1);</t>
  </si>
  <si>
    <t>INSERT INTO tblWMA (WMADistance, WMARoad, WMAWRTime, WMASex, WMAAge, WMAFactor) VALUES (5, 1, 771, 'M', 24, 1);</t>
  </si>
  <si>
    <t>INSERT INTO tblWMA (WMADistance, WMARoad, WMAWRTime, WMASex, WMAAge, WMAFactor) VALUES (5, 1, 771, 'M', 25, 1);</t>
  </si>
  <si>
    <t>INSERT INTO tblWMA (WMADistance, WMARoad, WMAWRTime, WMASex, WMAAge, WMAFactor) VALUES (5, 1, 771, 'M', 26, 1);</t>
  </si>
  <si>
    <t>INSERT INTO tblWMA (WMADistance, WMARoad, WMAWRTime, WMASex, WMAAge, WMAFactor) VALUES (5, 1, 771, 'M', 27, 1);</t>
  </si>
  <si>
    <t>INSERT INTO tblWMA (WMADistance, WMARoad, WMAWRTime, WMASex, WMAAge, WMAFactor) VALUES (5, 1, 771, 'M', 28, 1);</t>
  </si>
  <si>
    <t>INSERT INTO tblWMA (WMADistance, WMARoad, WMAWRTime, WMASex, WMAAge, WMAFactor) VALUES (5, 1, 771, 'M', 29, 1);</t>
  </si>
  <si>
    <t>INSERT INTO tblWMA (WMADistance, WMARoad, WMAWRTime, WMASex, WMAAge, WMAFactor) VALUES (5, 1, 771, 'M', 30, 0.9999);</t>
  </si>
  <si>
    <t>INSERT INTO tblWMA (WMADistance, WMARoad, WMAWRTime, WMASex, WMAAge, WMAFactor) VALUES (5, 1, 771, 'M', 31, 0.9989);</t>
  </si>
  <si>
    <t>INSERT INTO tblWMA (WMADistance, WMARoad, WMAWRTime, WMASex, WMAAge, WMAFactor) VALUES (5, 1, 771, 'M', 32, 0.9969);</t>
  </si>
  <si>
    <t>INSERT INTO tblWMA (WMADistance, WMARoad, WMAWRTime, WMASex, WMAAge, WMAFactor) VALUES (5, 1, 771, 'M', 33, 0.9937);</t>
  </si>
  <si>
    <t>INSERT INTO tblWMA (WMADistance, WMARoad, WMAWRTime, WMASex, WMAAge, WMAFactor) VALUES (5, 1, 771, 'M', 34, 0.9894);</t>
  </si>
  <si>
    <t>INSERT INTO tblWMA (WMADistance, WMARoad, WMAWRTime, WMASex, WMAAge, WMAFactor) VALUES (5, 1, 771, 'M', 35, 0.9841);</t>
  </si>
  <si>
    <t>INSERT INTO tblWMA (WMADistance, WMARoad, WMAWRTime, WMASex, WMAAge, WMAFactor) VALUES (5, 1, 771, 'M', 36, 0.9776);</t>
  </si>
  <si>
    <t>INSERT INTO tblWMA (WMADistance, WMARoad, WMAWRTime, WMASex, WMAAge, WMAFactor) VALUES (5, 1, 771, 'M', 37, 0.9706);</t>
  </si>
  <si>
    <t>INSERT INTO tblWMA (WMADistance, WMARoad, WMAWRTime, WMASex, WMAAge, WMAFactor) VALUES (5, 1, 771, 'M', 38, 0.9636);</t>
  </si>
  <si>
    <t>INSERT INTO tblWMA (WMADistance, WMARoad, WMAWRTime, WMASex, WMAAge, WMAFactor) VALUES (5, 1, 771, 'M', 39, 0.9566);</t>
  </si>
  <si>
    <t>INSERT INTO tblWMA (WMADistance, WMARoad, WMAWRTime, WMASex, WMAAge, WMAFactor) VALUES (5, 1, 771, 'M', 40, 0.9496);</t>
  </si>
  <si>
    <t>INSERT INTO tblWMA (WMADistance, WMARoad, WMAWRTime, WMASex, WMAAge, WMAFactor) VALUES (5, 1, 771, 'M', 41, 0.9426);</t>
  </si>
  <si>
    <t>INSERT INTO tblWMA (WMADistance, WMARoad, WMAWRTime, WMASex, WMAAge, WMAFactor) VALUES (5, 1, 771, 'M', 42, 0.9356);</t>
  </si>
  <si>
    <t>INSERT INTO tblWMA (WMADistance, WMARoad, WMAWRTime, WMASex, WMAAge, WMAFactor) VALUES (5, 1, 771, 'M', 43, 0.9286);</t>
  </si>
  <si>
    <t>INSERT INTO tblWMA (WMADistance, WMARoad, WMAWRTime, WMASex, WMAAge, WMAFactor) VALUES (5, 1, 771, 'M', 44, 0.9216);</t>
  </si>
  <si>
    <t>INSERT INTO tblWMA (WMADistance, WMARoad, WMAWRTime, WMASex, WMAAge, WMAFactor) VALUES (5, 1, 771, 'M', 45, 0.9146);</t>
  </si>
  <si>
    <t>INSERT INTO tblWMA (WMADistance, WMARoad, WMAWRTime, WMASex, WMAAge, WMAFactor) VALUES (5, 1, 771, 'M', 46, 0.9076);</t>
  </si>
  <si>
    <t>INSERT INTO tblWMA (WMADistance, WMARoad, WMAWRTime, WMASex, WMAAge, WMAFactor) VALUES (5, 1, 771, 'M', 47, 0.9006);</t>
  </si>
  <si>
    <t>INSERT INTO tblWMA (WMADistance, WMARoad, WMAWRTime, WMASex, WMAAge, WMAFactor) VALUES (5, 1, 771, 'M', 48, 0.8936);</t>
  </si>
  <si>
    <t>INSERT INTO tblWMA (WMADistance, WMARoad, WMAWRTime, WMASex, WMAAge, WMAFactor) VALUES (5, 1, 771, 'M', 49, 0.8866);</t>
  </si>
  <si>
    <t>INSERT INTO tblWMA (WMADistance, WMARoad, WMAWRTime, WMASex, WMAAge, WMAFactor) VALUES (5, 1, 771, 'M', 50, 0.8796);</t>
  </si>
  <si>
    <t>INSERT INTO tblWMA (WMADistance, WMARoad, WMAWRTime, WMASex, WMAAge, WMAFactor) VALUES (5, 1, 771, 'M', 51, 0.8726);</t>
  </si>
  <si>
    <t>INSERT INTO tblWMA (WMADistance, WMARoad, WMAWRTime, WMASex, WMAAge, WMAFactor) VALUES (5, 1, 771, 'M', 52, 0.8656);</t>
  </si>
  <si>
    <t>INSERT INTO tblWMA (WMADistance, WMARoad, WMAWRTime, WMASex, WMAAge, WMAFactor) VALUES (5, 1, 771, 'M', 53, 0.8586);</t>
  </si>
  <si>
    <t>INSERT INTO tblWMA (WMADistance, WMARoad, WMAWRTime, WMASex, WMAAge, WMAFactor) VALUES (5, 1, 771, 'M', 54, 0.8516);</t>
  </si>
  <si>
    <t>INSERT INTO tblWMA (WMADistance, WMARoad, WMAWRTime, WMASex, WMAAge, WMAFactor) VALUES (5, 1, 771, 'M', 55, 0.8446);</t>
  </si>
  <si>
    <t>INSERT INTO tblWMA (WMADistance, WMARoad, WMAWRTime, WMASex, WMAAge, WMAFactor) VALUES (5, 1, 771, 'M', 56, 0.8376);</t>
  </si>
  <si>
    <t>INSERT INTO tblWMA (WMADistance, WMARoad, WMAWRTime, WMASex, WMAAge, WMAFactor) VALUES (5, 1, 771, 'M', 57, 0.8306);</t>
  </si>
  <si>
    <t>INSERT INTO tblWMA (WMADistance, WMARoad, WMAWRTime, WMASex, WMAAge, WMAFactor) VALUES (5, 1, 771, 'M', 58, 0.8236);</t>
  </si>
  <si>
    <t>INSERT INTO tblWMA (WMADistance, WMARoad, WMAWRTime, WMASex, WMAAge, WMAFactor) VALUES (5, 1, 771, 'M', 59, 0.8166);</t>
  </si>
  <si>
    <t>INSERT INTO tblWMA (WMADistance, WMARoad, WMAWRTime, WMASex, WMAAge, WMAFactor) VALUES (5, 1, 771, 'M', 60, 0.8096);</t>
  </si>
  <si>
    <t>INSERT INTO tblWMA (WMADistance, WMARoad, WMAWRTime, WMASex, WMAAge, WMAFactor) VALUES (5, 1, 771, 'M', 61, 0.8026);</t>
  </si>
  <si>
    <t>INSERT INTO tblWMA (WMADistance, WMARoad, WMAWRTime, WMASex, WMAAge, WMAFactor) VALUES (5, 1, 771, 'M', 62, 0.7956);</t>
  </si>
  <si>
    <t>INSERT INTO tblWMA (WMADistance, WMARoad, WMAWRTime, WMASex, WMAAge, WMAFactor) VALUES (5, 1, 771, 'M', 63, 0.7886);</t>
  </si>
  <si>
    <t>INSERT INTO tblWMA (WMADistance, WMARoad, WMAWRTime, WMASex, WMAAge, WMAFactor) VALUES (5, 1, 771, 'M', 64, 0.7816);</t>
  </si>
  <si>
    <t>INSERT INTO tblWMA (WMADistance, WMARoad, WMAWRTime, WMASex, WMAAge, WMAFactor) VALUES (5, 1, 771, 'M', 65, 0.7746);</t>
  </si>
  <si>
    <t>INSERT INTO tblWMA (WMADistance, WMARoad, WMAWRTime, WMASex, WMAAge, WMAFactor) VALUES (5, 1, 771, 'M', 66, 0.7676);</t>
  </si>
  <si>
    <t>INSERT INTO tblWMA (WMADistance, WMARoad, WMAWRTime, WMASex, WMAAge, WMAFactor) VALUES (5, 1, 771, 'M', 67, 0.7606);</t>
  </si>
  <si>
    <t>INSERT INTO tblWMA (WMADistance, WMARoad, WMAWRTime, WMASex, WMAAge, WMAFactor) VALUES (5, 1, 771, 'M', 68, 0.7533);</t>
  </si>
  <si>
    <t>INSERT INTO tblWMA (WMADistance, WMARoad, WMAWRTime, WMASex, WMAAge, WMAFactor) VALUES (5, 1, 771, 'M', 69, 0.7454);</t>
  </si>
  <si>
    <t>INSERT INTO tblWMA (WMADistance, WMARoad, WMAWRTime, WMASex, WMAAge, WMAFactor) VALUES (5, 1, 771, 'M', 70, 0.7369);</t>
  </si>
  <si>
    <t>INSERT INTO tblWMA (WMADistance, WMARoad, WMAWRTime, WMASex, WMAAge, WMAFactor) VALUES (5, 1, 771, 'M', 71, 0.7278);</t>
  </si>
  <si>
    <t>INSERT INTO tblWMA (WMADistance, WMARoad, WMAWRTime, WMASex, WMAAge, WMAFactor) VALUES (5, 1, 771, 'M', 72, 0.7182);</t>
  </si>
  <si>
    <t>INSERT INTO tblWMA (WMADistance, WMARoad, WMAWRTime, WMASex, WMAAge, WMAFactor) VALUES (5, 1, 771, 'M', 73, 0.7079);</t>
  </si>
  <si>
    <t>INSERT INTO tblWMA (WMADistance, WMARoad, WMAWRTime, WMASex, WMAAge, WMAFactor) VALUES (5, 1, 771, 'M', 74, 0.697);</t>
  </si>
  <si>
    <t>INSERT INTO tblWMA (WMADistance, WMARoad, WMAWRTime, WMASex, WMAAge, WMAFactor) VALUES (5, 1, 771, 'M', 75, 0.6856);</t>
  </si>
  <si>
    <t>INSERT INTO tblWMA (WMADistance, WMARoad, WMAWRTime, WMASex, WMAAge, WMAFactor) VALUES (5, 1, 771, 'M', 76, 0.6735);</t>
  </si>
  <si>
    <t>INSERT INTO tblWMA (WMADistance, WMARoad, WMAWRTime, WMASex, WMAAge, WMAFactor) VALUES (5, 1, 771, 'M', 77, 0.6609);</t>
  </si>
  <si>
    <t>INSERT INTO tblWMA (WMADistance, WMARoad, WMAWRTime, WMASex, WMAAge, WMAFactor) VALUES (5, 1, 771, 'M', 78, 0.6477);</t>
  </si>
  <si>
    <t>INSERT INTO tblWMA (WMADistance, WMARoad, WMAWRTime, WMASex, WMAAge, WMAFactor) VALUES (5, 1, 771, 'M', 79, 0.6338);</t>
  </si>
  <si>
    <t>INSERT INTO tblWMA (WMADistance, WMARoad, WMAWRTime, WMASex, WMAAge, WMAFactor) VALUES (5, 1, 771, 'M', 80, 0.6194);</t>
  </si>
  <si>
    <t>INSERT INTO tblWMA (WMADistance, WMARoad, WMAWRTime, WMASex, WMAAge, WMAFactor) VALUES (5, 1, 771, 'M', 81, 0.6044);</t>
  </si>
  <si>
    <t>INSERT INTO tblWMA (WMADistance, WMARoad, WMAWRTime, WMASex, WMAAge, WMAFactor) VALUES (5, 1, 771, 'M', 82, 0.5888);</t>
  </si>
  <si>
    <t>INSERT INTO tblWMA (WMADistance, WMARoad, WMAWRTime, WMASex, WMAAge, WMAFactor) VALUES (5, 1, 771, 'M', 83, 0.5726);</t>
  </si>
  <si>
    <t>INSERT INTO tblWMA (WMADistance, WMARoad, WMAWRTime, WMASex, WMAAge, WMAFactor) VALUES (5, 1, 771, 'M', 84, 0.5558);</t>
  </si>
  <si>
    <t>INSERT INTO tblWMA (WMADistance, WMARoad, WMAWRTime, WMASex, WMAAge, WMAFactor) VALUES (5, 1, 771, 'M', 85, 0.5384);</t>
  </si>
  <si>
    <t>INSERT INTO tblWMA (WMADistance, WMARoad, WMAWRTime, WMASex, WMAAge, WMAFactor) VALUES (5, 1, 771, 'M', 86, 0.5204);</t>
  </si>
  <si>
    <t>INSERT INTO tblWMA (WMADistance, WMARoad, WMAWRTime, WMASex, WMAAge, WMAFactor) VALUES (5, 1, 771, 'M', 87, 0.5018);</t>
  </si>
  <si>
    <t>INSERT INTO tblWMA (WMADistance, WMARoad, WMAWRTime, WMASex, WMAAge, WMAFactor) VALUES (5, 1, 771, 'M', 88, 0.4826);</t>
  </si>
  <si>
    <t>INSERT INTO tblWMA (WMADistance, WMARoad, WMAWRTime, WMASex, WMAAge, WMAFactor) VALUES (5, 1, 771, 'M', 89, 0.4629);</t>
  </si>
  <si>
    <t>INSERT INTO tblWMA (WMADistance, WMARoad, WMAWRTime, WMASex, WMAAge, WMAFactor) VALUES (5, 1, 771, 'M', 90, 0.4425);</t>
  </si>
  <si>
    <t>INSERT INTO tblWMA (WMADistance, WMARoad, WMAWRTime, WMASex, WMAAge, WMAFactor) VALUES (5, 1, 771, 'M', 91, 0.4215);</t>
  </si>
  <si>
    <t>INSERT INTO tblWMA (WMADistance, WMARoad, WMAWRTime, WMASex, WMAAge, WMAFactor) VALUES (5, 1, 771, 'M', 92, 0.4);</t>
  </si>
  <si>
    <t>INSERT INTO tblWMA (WMADistance, WMARoad, WMAWRTime, WMASex, WMAAge, WMAFactor) VALUES (5, 1, 771, 'M', 93, 0.3778);</t>
  </si>
  <si>
    <t>INSERT INTO tblWMA (WMADistance, WMARoad, WMAWRTime, WMASex, WMAAge, WMAFactor) VALUES (5, 1, 771, 'M', 94, 0.3551);</t>
  </si>
  <si>
    <t>INSERT INTO tblWMA (WMADistance, WMARoad, WMAWRTime, WMASex, WMAAge, WMAFactor) VALUES (5, 1, 771, 'M', 95, 0.3318);</t>
  </si>
  <si>
    <t>INSERT INTO tblWMA (WMADistance, WMARoad, WMAWRTime, WMASex, WMAAge, WMAFactor) VALUES (5, 1, 771, 'M', 96, 0.3078);</t>
  </si>
  <si>
    <t>INSERT INTO tblWMA (WMADistance, WMARoad, WMAWRTime, WMASex, WMAAge, WMAFactor) VALUES (5, 1, 771, 'M', 97, 0.2833);</t>
  </si>
  <si>
    <t>INSERT INTO tblWMA (WMADistance, WMARoad, WMAWRTime, WMASex, WMAAge, WMAFactor) VALUES (5, 1, 771, 'M', 98, 0.2582);</t>
  </si>
  <si>
    <t>INSERT INTO tblWMA (WMADistance, WMARoad, WMAWRTime, WMASex, WMAAge, WMAFactor) VALUES (5, 1, 771, 'M', 99, 0.2325);</t>
  </si>
  <si>
    <t>INSERT INTO tblWMA (WMADistance, WMARoad, WMAWRTime, WMASex, WMAAge, WMAFactor) VALUES (5, 1, 771, 'M', 100, 0.2062);</t>
  </si>
  <si>
    <t>INSERT INTO tblWMA (WMADistance, WMARoad, WMAWRTime, WMASex, WMAAge, WMAFactor) VALUES (6, 1, 933, 'M', 5, 0.6056);</t>
  </si>
  <si>
    <t>INSERT INTO tblWMA (WMADistance, WMARoad, WMAWRTime, WMASex, WMAAge, WMAFactor) VALUES (6, 1, 933, 'M', 6, 0.6596);</t>
  </si>
  <si>
    <t>INSERT INTO tblWMA (WMADistance, WMARoad, WMAWRTime, WMASex, WMAAge, WMAFactor) VALUES (6, 1, 933, 'M', 7, 0.7096);</t>
  </si>
  <si>
    <t>INSERT INTO tblWMA (WMADistance, WMARoad, WMAWRTime, WMASex, WMAAge, WMAFactor) VALUES (6, 1, 933, 'M', 8, 0.7556);</t>
  </si>
  <si>
    <t>INSERT INTO tblWMA (WMADistance, WMARoad, WMAWRTime, WMASex, WMAAge, WMAFactor) VALUES (6, 1, 933, 'M', 9, 0.7976);</t>
  </si>
  <si>
    <t>INSERT INTO tblWMA (WMADistance, WMARoad, WMAWRTime, WMASex, WMAAge, WMAFactor) VALUES (6, 1, 933, 'M', 10, 0.8356);</t>
  </si>
  <si>
    <t>INSERT INTO tblWMA (WMADistance, WMARoad, WMAWRTime, WMASex, WMAAge, WMAFactor) VALUES (6, 1, 933, 'M', 11, 0.8696);</t>
  </si>
  <si>
    <t>INSERT INTO tblWMA (WMADistance, WMARoad, WMAWRTime, WMASex, WMAAge, WMAFactor) VALUES (6, 1, 933, 'M', 12, 0.8996);</t>
  </si>
  <si>
    <t>INSERT INTO tblWMA (WMADistance, WMARoad, WMAWRTime, WMASex, WMAAge, WMAFactor) VALUES (6, 1, 933, 'M', 13, 0.9256);</t>
  </si>
  <si>
    <t>INSERT INTO tblWMA (WMADistance, WMARoad, WMAWRTime, WMASex, WMAAge, WMAFactor) VALUES (6, 1, 933, 'M', 14, 0.9476);</t>
  </si>
  <si>
    <t>INSERT INTO tblWMA (WMADistance, WMARoad, WMAWRTime, WMASex, WMAAge, WMAFactor) VALUES (6, 1, 933, 'M', 15, 0.9656);</t>
  </si>
  <si>
    <t>INSERT INTO tblWMA (WMADistance, WMARoad, WMAWRTime, WMASex, WMAAge, WMAFactor) VALUES (6, 1, 933, 'M', 16, 0.9796);</t>
  </si>
  <si>
    <t>INSERT INTO tblWMA (WMADistance, WMARoad, WMAWRTime, WMASex, WMAAge, WMAFactor) VALUES (6, 1, 933, 'M', 17, 0.9916);</t>
  </si>
  <si>
    <t>INSERT INTO tblWMA (WMADistance, WMARoad, WMAWRTime, WMASex, WMAAge, WMAFactor) VALUES (6, 1, 933, 'M', 18, 0.9993);</t>
  </si>
  <si>
    <t>INSERT INTO tblWMA (WMADistance, WMARoad, WMAWRTime, WMASex, WMAAge, WMAFactor) VALUES (6, 1, 933, 'M', 19, 1);</t>
  </si>
  <si>
    <t>INSERT INTO tblWMA (WMADistance, WMARoad, WMAWRTime, WMASex, WMAAge, WMAFactor) VALUES (6, 1, 933, 'M', 20, 1);</t>
  </si>
  <si>
    <t>INSERT INTO tblWMA (WMADistance, WMARoad, WMAWRTime, WMASex, WMAAge, WMAFactor) VALUES (6, 1, 933, 'M', 21, 1);</t>
  </si>
  <si>
    <t>INSERT INTO tblWMA (WMADistance, WMARoad, WMAWRTime, WMASex, WMAAge, WMAFactor) VALUES (6, 1, 933, 'M', 22, 1);</t>
  </si>
  <si>
    <t>INSERT INTO tblWMA (WMADistance, WMARoad, WMAWRTime, WMASex, WMAAge, WMAFactor) VALUES (6, 1, 933, 'M', 23, 1);</t>
  </si>
  <si>
    <t>INSERT INTO tblWMA (WMADistance, WMARoad, WMAWRTime, WMASex, WMAAge, WMAFactor) VALUES (6, 1, 933, 'M', 24, 1);</t>
  </si>
  <si>
    <t>INSERT INTO tblWMA (WMADistance, WMARoad, WMAWRTime, WMASex, WMAAge, WMAFactor) VALUES (6, 1, 933, 'M', 25, 1);</t>
  </si>
  <si>
    <t>INSERT INTO tblWMA (WMADistance, WMARoad, WMAWRTime, WMASex, WMAAge, WMAFactor) VALUES (6, 1, 933, 'M', 26, 1);</t>
  </si>
  <si>
    <t>INSERT INTO tblWMA (WMADistance, WMARoad, WMAWRTime, WMASex, WMAAge, WMAFactor) VALUES (6, 1, 933, 'M', 27, 1);</t>
  </si>
  <si>
    <t>INSERT INTO tblWMA (WMADistance, WMARoad, WMAWRTime, WMASex, WMAAge, WMAFactor) VALUES (6, 1, 933, 'M', 28, 1);</t>
  </si>
  <si>
    <t>INSERT INTO tblWMA (WMADistance, WMARoad, WMAWRTime, WMASex, WMAAge, WMAFactor) VALUES (6, 1, 933, 'M', 29, 1);</t>
  </si>
  <si>
    <t>INSERT INTO tblWMA (WMADistance, WMARoad, WMAWRTime, WMASex, WMAAge, WMAFactor) VALUES (6, 1, 933, 'M', 30, 1);</t>
  </si>
  <si>
    <t>INSERT INTO tblWMA (WMADistance, WMARoad, WMAWRTime, WMASex, WMAAge, WMAFactor) VALUES (6, 1, 933, 'M', 31, 0.9992);</t>
  </si>
  <si>
    <t>INSERT INTO tblWMA (WMADistance, WMARoad, WMAWRTime, WMASex, WMAAge, WMAFactor) VALUES (6, 1, 933, 'M', 32, 0.9975);</t>
  </si>
  <si>
    <t>INSERT INTO tblWMA (WMADistance, WMARoad, WMAWRTime, WMASex, WMAAge, WMAFactor) VALUES (6, 1, 933, 'M', 33, 0.9948);</t>
  </si>
  <si>
    <t>INSERT INTO tblWMA (WMADistance, WMARoad, WMAWRTime, WMASex, WMAAge, WMAFactor) VALUES (6, 1, 933, 'M', 34, 0.9911);</t>
  </si>
  <si>
    <t>INSERT INTO tblWMA (WMADistance, WMARoad, WMAWRTime, WMASex, WMAAge, WMAFactor) VALUES (6, 1, 933, 'M', 35, 0.9865);</t>
  </si>
  <si>
    <t>INSERT INTO tblWMA (WMADistance, WMARoad, WMAWRTime, WMASex, WMAAge, WMAFactor) VALUES (6, 1, 933, 'M', 36, 0.981);</t>
  </si>
  <si>
    <t>INSERT INTO tblWMA (WMADistance, WMARoad, WMAWRTime, WMASex, WMAAge, WMAFactor) VALUES (6, 1, 933, 'M', 37, 0.9744);</t>
  </si>
  <si>
    <t>INSERT INTO tblWMA (WMADistance, WMARoad, WMAWRTime, WMASex, WMAAge, WMAFactor) VALUES (6, 1, 933, 'M', 38, 0.9673);</t>
  </si>
  <si>
    <t>INSERT INTO tblWMA (WMADistance, WMARoad, WMAWRTime, WMASex, WMAAge, WMAFactor) VALUES (6, 1, 933, 'M', 39, 0.9602);</t>
  </si>
  <si>
    <t>INSERT INTO tblWMA (WMADistance, WMARoad, WMAWRTime, WMASex, WMAAge, WMAFactor) VALUES (6, 1, 933, 'M', 40, 0.9531);</t>
  </si>
  <si>
    <t>INSERT INTO tblWMA (WMADistance, WMARoad, WMAWRTime, WMASex, WMAAge, WMAFactor) VALUES (6, 1, 933, 'M', 41, 0.9459);</t>
  </si>
  <si>
    <t>INSERT INTO tblWMA (WMADistance, WMARoad, WMAWRTime, WMASex, WMAAge, WMAFactor) VALUES (6, 1, 933, 'M', 42, 0.9388);</t>
  </si>
  <si>
    <t>INSERT INTO tblWMA (WMADistance, WMARoad, WMAWRTime, WMASex, WMAAge, WMAFactor) VALUES (6, 1, 933, 'M', 43, 0.9317);</t>
  </si>
  <si>
    <t>INSERT INTO tblWMA (WMADistance, WMARoad, WMAWRTime, WMASex, WMAAge, WMAFactor) VALUES (6, 1, 933, 'M', 44, 0.9245);</t>
  </si>
  <si>
    <t>INSERT INTO tblWMA (WMADistance, WMARoad, WMAWRTime, WMASex, WMAAge, WMAFactor) VALUES (6, 1, 933, 'M', 45, 0.9174);</t>
  </si>
  <si>
    <t>INSERT INTO tblWMA (WMADistance, WMARoad, WMAWRTime, WMASex, WMAAge, WMAFactor) VALUES (6, 1, 933, 'M', 46, 0.9103);</t>
  </si>
  <si>
    <t>INSERT INTO tblWMA (WMADistance, WMARoad, WMAWRTime, WMASex, WMAAge, WMAFactor) VALUES (6, 1, 933, 'M', 47, 0.9031);</t>
  </si>
  <si>
    <t>INSERT INTO tblWMA (WMADistance, WMARoad, WMAWRTime, WMASex, WMAAge, WMAFactor) VALUES (6, 1, 933, 'M', 48, 0.896);</t>
  </si>
  <si>
    <t>INSERT INTO tblWMA (WMADistance, WMARoad, WMAWRTime, WMASex, WMAAge, WMAFactor) VALUES (6, 1, 933, 'M', 49, 0.8889);</t>
  </si>
  <si>
    <t>INSERT INTO tblWMA (WMADistance, WMARoad, WMAWRTime, WMASex, WMAAge, WMAFactor) VALUES (6, 1, 933, 'M', 50, 0.8817);</t>
  </si>
  <si>
    <t>INSERT INTO tblWMA (WMADistance, WMARoad, WMAWRTime, WMASex, WMAAge, WMAFactor) VALUES (6, 1, 933, 'M', 51, 0.8746);</t>
  </si>
  <si>
    <t>INSERT INTO tblWMA (WMADistance, WMARoad, WMAWRTime, WMASex, WMAAge, WMAFactor) VALUES (6, 1, 933, 'M', 52, 0.8675);</t>
  </si>
  <si>
    <t>INSERT INTO tblWMA (WMADistance, WMARoad, WMAWRTime, WMASex, WMAAge, WMAFactor) VALUES (6, 1, 933, 'M', 53, 0.8604);</t>
  </si>
  <si>
    <t>INSERT INTO tblWMA (WMADistance, WMARoad, WMAWRTime, WMASex, WMAAge, WMAFactor) VALUES (6, 1, 933, 'M', 54, 0.8532);</t>
  </si>
  <si>
    <t>INSERT INTO tblWMA (WMADistance, WMARoad, WMAWRTime, WMASex, WMAAge, WMAFactor) VALUES (6, 1, 933, 'M', 55, 0.8461);</t>
  </si>
  <si>
    <t>INSERT INTO tblWMA (WMADistance, WMARoad, WMAWRTime, WMASex, WMAAge, WMAFactor) VALUES (6, 1, 933, 'M', 56, 0.839);</t>
  </si>
  <si>
    <t>INSERT INTO tblWMA (WMADistance, WMARoad, WMAWRTime, WMASex, WMAAge, WMAFactor) VALUES (6, 1, 933, 'M', 57, 0.8318);</t>
  </si>
  <si>
    <t>INSERT INTO tblWMA (WMADistance, WMARoad, WMAWRTime, WMASex, WMAAge, WMAFactor) VALUES (6, 1, 933, 'M', 58, 0.8247);</t>
  </si>
  <si>
    <t>INSERT INTO tblWMA (WMADistance, WMARoad, WMAWRTime, WMASex, WMAAge, WMAFactor) VALUES (6, 1, 933, 'M', 59, 0.8176);</t>
  </si>
  <si>
    <t>INSERT INTO tblWMA (WMADistance, WMARoad, WMAWRTime, WMASex, WMAAge, WMAFactor) VALUES (6, 1, 933, 'M', 60, 0.8104);</t>
  </si>
  <si>
    <t>INSERT INTO tblWMA (WMADistance, WMARoad, WMAWRTime, WMASex, WMAAge, WMAFactor) VALUES (6, 1, 933, 'M', 61, 0.8033);</t>
  </si>
  <si>
    <t>INSERT INTO tblWMA (WMADistance, WMARoad, WMAWRTime, WMASex, WMAAge, WMAFactor) VALUES (6, 1, 933, 'M', 62, 0.7962);</t>
  </si>
  <si>
    <t>INSERT INTO tblWMA (WMADistance, WMARoad, WMAWRTime, WMASex, WMAAge, WMAFactor) VALUES (6, 1, 933, 'M', 63, 0.789);</t>
  </si>
  <si>
    <t>INSERT INTO tblWMA (WMADistance, WMARoad, WMAWRTime, WMASex, WMAAge, WMAFactor) VALUES (6, 1, 933, 'M', 64, 0.7819);</t>
  </si>
  <si>
    <t>INSERT INTO tblWMA (WMADistance, WMARoad, WMAWRTime, WMASex, WMAAge, WMAFactor) VALUES (6, 1, 933, 'M', 65, 0.7748);</t>
  </si>
  <si>
    <t>INSERT INTO tblWMA (WMADistance, WMARoad, WMAWRTime, WMASex, WMAAge, WMAFactor) VALUES (6, 1, 933, 'M', 66, 0.7676);</t>
  </si>
  <si>
    <t>INSERT INTO tblWMA (WMADistance, WMARoad, WMAWRTime, WMASex, WMAAge, WMAFactor) VALUES (6, 1, 933, 'M', 67, 0.7605);</t>
  </si>
  <si>
    <t>INSERT INTO tblWMA (WMADistance, WMARoad, WMAWRTime, WMASex, WMAAge, WMAFactor) VALUES (6, 1, 933, 'M', 68, 0.7534);</t>
  </si>
  <si>
    <t>INSERT INTO tblWMA (WMADistance, WMARoad, WMAWRTime, WMASex, WMAAge, WMAFactor) VALUES (6, 1, 933, 'M', 69, 0.7458);</t>
  </si>
  <si>
    <t>INSERT INTO tblWMA (WMADistance, WMARoad, WMAWRTime, WMASex, WMAAge, WMAFactor) VALUES (6, 1, 933, 'M', 70, 0.7376);</t>
  </si>
  <si>
    <t>INSERT INTO tblWMA (WMADistance, WMARoad, WMAWRTime, WMASex, WMAAge, WMAFactor) VALUES (6, 1, 933, 'M', 71, 0.7288);</t>
  </si>
  <si>
    <t>INSERT INTO tblWMA (WMADistance, WMARoad, WMAWRTime, WMASex, WMAAge, WMAFactor) VALUES (6, 1, 933, 'M', 72, 0.7194);</t>
  </si>
  <si>
    <t>INSERT INTO tblWMA (WMADistance, WMARoad, WMAWRTime, WMASex, WMAAge, WMAFactor) VALUES (6, 1, 933, 'M', 73, 0.7094);</t>
  </si>
  <si>
    <t>INSERT INTO tblWMA (WMADistance, WMARoad, WMAWRTime, WMASex, WMAAge, WMAFactor) VALUES (6, 1, 933, 'M', 74, 0.6987);</t>
  </si>
  <si>
    <t>INSERT INTO tblWMA (WMADistance, WMARoad, WMAWRTime, WMASex, WMAAge, WMAFactor) VALUES (6, 1, 933, 'M', 75, 0.6875);</t>
  </si>
  <si>
    <t>INSERT INTO tblWMA (WMADistance, WMARoad, WMAWRTime, WMASex, WMAAge, WMAFactor) VALUES (6, 1, 933, 'M', 76, 0.6756);</t>
  </si>
  <si>
    <t>INSERT INTO tblWMA (WMADistance, WMARoad, WMAWRTime, WMASex, WMAAge, WMAFactor) VALUES (6, 1, 933, 'M', 77, 0.6631);</t>
  </si>
  <si>
    <t>INSERT INTO tblWMA (WMADistance, WMARoad, WMAWRTime, WMASex, WMAAge, WMAFactor) VALUES (6, 1, 933, 'M', 78, 0.6501);</t>
  </si>
  <si>
    <t>INSERT INTO tblWMA (WMADistance, WMARoad, WMAWRTime, WMASex, WMAAge, WMAFactor) VALUES (6, 1, 933, 'M', 79, 0.6363);</t>
  </si>
  <si>
    <t>INSERT INTO tblWMA (WMADistance, WMARoad, WMAWRTime, WMASex, WMAAge, WMAFactor) VALUES (6, 1, 933, 'M', 80, 0.622);</t>
  </si>
  <si>
    <t>INSERT INTO tblWMA (WMADistance, WMARoad, WMAWRTime, WMASex, WMAAge, WMAFactor) VALUES (6, 1, 933, 'M', 81, 0.6071);</t>
  </si>
  <si>
    <t>INSERT INTO tblWMA (WMADistance, WMARoad, WMAWRTime, WMASex, WMAAge, WMAFactor) VALUES (6, 1, 933, 'M', 82, 0.5915);</t>
  </si>
  <si>
    <t>INSERT INTO tblWMA (WMADistance, WMARoad, WMAWRTime, WMASex, WMAAge, WMAFactor) VALUES (6, 1, 933, 'M', 83, 0.5754);</t>
  </si>
  <si>
    <t>INSERT INTO tblWMA (WMADistance, WMARoad, WMAWRTime, WMASex, WMAAge, WMAFactor) VALUES (6, 1, 933, 'M', 84, 0.5586);</t>
  </si>
  <si>
    <t>INSERT INTO tblWMA (WMADistance, WMARoad, WMAWRTime, WMASex, WMAAge, WMAFactor) VALUES (6, 1, 933, 'M', 85, 0.5412);</t>
  </si>
  <si>
    <t>INSERT INTO tblWMA (WMADistance, WMARoad, WMAWRTime, WMASex, WMAAge, WMAFactor) VALUES (6, 1, 933, 'M', 86, 0.5232);</t>
  </si>
  <si>
    <t>INSERT INTO tblWMA (WMADistance, WMARoad, WMAWRTime, WMASex, WMAAge, WMAFactor) VALUES (6, 1, 933, 'M', 87, 0.5046);</t>
  </si>
  <si>
    <t>INSERT INTO tblWMA (WMADistance, WMARoad, WMAWRTime, WMASex, WMAAge, WMAFactor) VALUES (6, 1, 933, 'M', 88, 0.4853);</t>
  </si>
  <si>
    <t>INSERT INTO tblWMA (WMADistance, WMARoad, WMAWRTime, WMASex, WMAAge, WMAFactor) VALUES (6, 1, 933, 'M', 89, 0.4655);</t>
  </si>
  <si>
    <t>INSERT INTO tblWMA (WMADistance, WMARoad, WMAWRTime, WMASex, WMAAge, WMAFactor) VALUES (6, 1, 933, 'M', 90, 0.445);</t>
  </si>
  <si>
    <t>INSERT INTO tblWMA (WMADistance, WMARoad, WMAWRTime, WMASex, WMAAge, WMAFactor) VALUES (6, 1, 933, 'M', 91, 0.424);</t>
  </si>
  <si>
    <t>INSERT INTO tblWMA (WMADistance, WMARoad, WMAWRTime, WMASex, WMAAge, WMAFactor) VALUES (6, 1, 933, 'M', 92, 0.4023);</t>
  </si>
  <si>
    <t>INSERT INTO tblWMA (WMADistance, WMARoad, WMAWRTime, WMASex, WMAAge, WMAFactor) VALUES (6, 1, 933, 'M', 93, 0.38);</t>
  </si>
  <si>
    <t>INSERT INTO tblWMA (WMADistance, WMARoad, WMAWRTime, WMASex, WMAAge, WMAFactor) VALUES (6, 1, 933, 'M', 94, 0.3571);</t>
  </si>
  <si>
    <t>INSERT INTO tblWMA (WMADistance, WMARoad, WMAWRTime, WMASex, WMAAge, WMAFactor) VALUES (6, 1, 933, 'M', 95, 0.3335);</t>
  </si>
  <si>
    <t>INSERT INTO tblWMA (WMADistance, WMARoad, WMAWRTime, WMASex, WMAAge, WMAFactor) VALUES (6, 1, 933, 'M', 96, 0.3094);</t>
  </si>
  <si>
    <t>INSERT INTO tblWMA (WMADistance, WMARoad, WMAWRTime, WMASex, WMAAge, WMAFactor) VALUES (6, 1, 933, 'M', 97, 0.2846);</t>
  </si>
  <si>
    <t>INSERT INTO tblWMA (WMADistance, WMARoad, WMAWRTime, WMASex, WMAAge, WMAFactor) VALUES (6, 1, 933, 'M', 98, 0.2592);</t>
  </si>
  <si>
    <t>INSERT INTO tblWMA (WMADistance, WMARoad, WMAWRTime, WMASex, WMAAge, WMAFactor) VALUES (6, 1, 933, 'M', 99, 0.2333);</t>
  </si>
  <si>
    <t>INSERT INTO tblWMA (WMADistance, WMARoad, WMAWRTime, WMASex, WMAAge, WMAFactor) VALUES (6, 1, 933, 'M', 100, 0.2066);</t>
  </si>
  <si>
    <t>INSERT INTO tblWMA (WMADistance, WMARoad, WMAWRTime, WMASex, WMAAge, WMAFactor) VALUES (6.437, 1, 1003, 'M', 5, 0.6056);</t>
  </si>
  <si>
    <t>INSERT INTO tblWMA (WMADistance, WMARoad, WMAWRTime, WMASex, WMAAge, WMAFactor) VALUES (6.437, 1, 1003, 'M', 6, 0.6596);</t>
  </si>
  <si>
    <t>INSERT INTO tblWMA (WMADistance, WMARoad, WMAWRTime, WMASex, WMAAge, WMAFactor) VALUES (6.437, 1, 1003, 'M', 7, 0.7096);</t>
  </si>
  <si>
    <t>INSERT INTO tblWMA (WMADistance, WMARoad, WMAWRTime, WMASex, WMAAge, WMAFactor) VALUES (6.437, 1, 1003, 'M', 8, 0.7556);</t>
  </si>
  <si>
    <t>INSERT INTO tblWMA (WMADistance, WMARoad, WMAWRTime, WMASex, WMAAge, WMAFactor) VALUES (6.437, 1, 1003, 'M', 9, 0.7976);</t>
  </si>
  <si>
    <t>INSERT INTO tblWMA (WMADistance, WMARoad, WMAWRTime, WMASex, WMAAge, WMAFactor) VALUES (6.437, 1, 1003, 'M', 10, 0.8356);</t>
  </si>
  <si>
    <t>INSERT INTO tblWMA (WMADistance, WMARoad, WMAWRTime, WMASex, WMAAge, WMAFactor) VALUES (6.437, 1, 1003, 'M', 11, 0.8696);</t>
  </si>
  <si>
    <t>INSERT INTO tblWMA (WMADistance, WMARoad, WMAWRTime, WMASex, WMAAge, WMAFactor) VALUES (6.437, 1, 1003, 'M', 12, 0.8996);</t>
  </si>
  <si>
    <t>INSERT INTO tblWMA (WMADistance, WMARoad, WMAWRTime, WMASex, WMAAge, WMAFactor) VALUES (6.437, 1, 1003, 'M', 13, 0.9256);</t>
  </si>
  <si>
    <t>INSERT INTO tblWMA (WMADistance, WMARoad, WMAWRTime, WMASex, WMAAge, WMAFactor) VALUES (6.437, 1, 1003, 'M', 14, 0.9476);</t>
  </si>
  <si>
    <t>INSERT INTO tblWMA (WMADistance, WMARoad, WMAWRTime, WMASex, WMAAge, WMAFactor) VALUES (6.437, 1, 1003, 'M', 15, 0.9656);</t>
  </si>
  <si>
    <t>INSERT INTO tblWMA (WMADistance, WMARoad, WMAWRTime, WMASex, WMAAge, WMAFactor) VALUES (6.437, 1, 1003, 'M', 16, 0.9796);</t>
  </si>
  <si>
    <t>INSERT INTO tblWMA (WMADistance, WMARoad, WMAWRTime, WMASex, WMAAge, WMAFactor) VALUES (6.437, 1, 1003, 'M', 17, 0.9916);</t>
  </si>
  <si>
    <t>INSERT INTO tblWMA (WMADistance, WMARoad, WMAWRTime, WMASex, WMAAge, WMAFactor) VALUES (6.437, 1, 1003, 'M', 18, 0.9993);</t>
  </si>
  <si>
    <t>INSERT INTO tblWMA (WMADistance, WMARoad, WMAWRTime, WMASex, WMAAge, WMAFactor) VALUES (6.437, 1, 1003, 'M', 19, 1);</t>
  </si>
  <si>
    <t>INSERT INTO tblWMA (WMADistance, WMARoad, WMAWRTime, WMASex, WMAAge, WMAFactor) VALUES (6.437, 1, 1003, 'M', 20, 1);</t>
  </si>
  <si>
    <t>INSERT INTO tblWMA (WMADistance, WMARoad, WMAWRTime, WMASex, WMAAge, WMAFactor) VALUES (6.437, 1, 1003, 'M', 21, 1);</t>
  </si>
  <si>
    <t>INSERT INTO tblWMA (WMADistance, WMARoad, WMAWRTime, WMASex, WMAAge, WMAFactor) VALUES (6.437, 1, 1003, 'M', 22, 1);</t>
  </si>
  <si>
    <t>INSERT INTO tblWMA (WMADistance, WMARoad, WMAWRTime, WMASex, WMAAge, WMAFactor) VALUES (6.437, 1, 1003, 'M', 23, 1);</t>
  </si>
  <si>
    <t>INSERT INTO tblWMA (WMADistance, WMARoad, WMAWRTime, WMASex, WMAAge, WMAFactor) VALUES (6.437, 1, 1003, 'M', 24, 1);</t>
  </si>
  <si>
    <t>INSERT INTO tblWMA (WMADistance, WMARoad, WMAWRTime, WMASex, WMAAge, WMAFactor) VALUES (6.437, 1, 1003, 'M', 25, 1);</t>
  </si>
  <si>
    <t>INSERT INTO tblWMA (WMADistance, WMARoad, WMAWRTime, WMASex, WMAAge, WMAFactor) VALUES (6.437, 1, 1003, 'M', 26, 1);</t>
  </si>
  <si>
    <t>INSERT INTO tblWMA (WMADistance, WMARoad, WMAWRTime, WMASex, WMAAge, WMAFactor) VALUES (6.437, 1, 1003, 'M', 27, 1);</t>
  </si>
  <si>
    <t>INSERT INTO tblWMA (WMADistance, WMARoad, WMAWRTime, WMASex, WMAAge, WMAFactor) VALUES (6.437, 1, 1003, 'M', 28, 1);</t>
  </si>
  <si>
    <t>INSERT INTO tblWMA (WMADistance, WMARoad, WMAWRTime, WMASex, WMAAge, WMAFactor) VALUES (6.437, 1, 1003, 'M', 29, 1);</t>
  </si>
  <si>
    <t>INSERT INTO tblWMA (WMADistance, WMARoad, WMAWRTime, WMASex, WMAAge, WMAFactor) VALUES (6.437, 1, 1003, 'M', 30, 1);</t>
  </si>
  <si>
    <t>INSERT INTO tblWMA (WMADistance, WMARoad, WMAWRTime, WMASex, WMAAge, WMAFactor) VALUES (6.437, 1, 1003, 'M', 31, 0.9993);</t>
  </si>
  <si>
    <t>INSERT INTO tblWMA (WMADistance, WMARoad, WMAWRTime, WMASex, WMAAge, WMAFactor) VALUES (6.437, 1, 1003, 'M', 32, 0.9977);</t>
  </si>
  <si>
    <t>INSERT INTO tblWMA (WMADistance, WMARoad, WMAWRTime, WMASex, WMAAge, WMAFactor) VALUES (6.437, 1, 1003, 'M', 33, 0.9951);</t>
  </si>
  <si>
    <t>INSERT INTO tblWMA (WMADistance, WMARoad, WMAWRTime, WMASex, WMAAge, WMAFactor) VALUES (6.437, 1, 1003, 'M', 34, 0.9917);</t>
  </si>
  <si>
    <t>INSERT INTO tblWMA (WMADistance, WMARoad, WMAWRTime, WMASex, WMAAge, WMAFactor) VALUES (6.437, 1, 1003, 'M', 35, 0.9873);</t>
  </si>
  <si>
    <t>INSERT INTO tblWMA (WMADistance, WMARoad, WMAWRTime, WMASex, WMAAge, WMAFactor) VALUES (6.437, 1, 1003, 'M', 36, 0.982);</t>
  </si>
  <si>
    <t>INSERT INTO tblWMA (WMADistance, WMARoad, WMAWRTime, WMASex, WMAAge, WMAFactor) VALUES (6.437, 1, 1003, 'M', 37, 0.9758);</t>
  </si>
  <si>
    <t>INSERT INTO tblWMA (WMADistance, WMARoad, WMAWRTime, WMASex, WMAAge, WMAFactor) VALUES (6.437, 1, 1003, 'M', 38, 0.9688);</t>
  </si>
  <si>
    <t>INSERT INTO tblWMA (WMADistance, WMARoad, WMAWRTime, WMASex, WMAAge, WMAFactor) VALUES (6.437, 1, 1003, 'M', 39, 0.9616);</t>
  </si>
  <si>
    <t>INSERT INTO tblWMA (WMADistance, WMARoad, WMAWRTime, WMASex, WMAAge, WMAFactor) VALUES (6.437, 1, 1003, 'M', 40, 0.9544);</t>
  </si>
  <si>
    <t>INSERT INTO tblWMA (WMADistance, WMARoad, WMAWRTime, WMASex, WMAAge, WMAFactor) VALUES (6.437, 1, 1003, 'M', 41, 0.9473);</t>
  </si>
  <si>
    <t>INSERT INTO tblWMA (WMADistance, WMARoad, WMAWRTime, WMASex, WMAAge, WMAFactor) VALUES (6.437, 1, 1003, 'M', 42, 0.9401);</t>
  </si>
  <si>
    <t>INSERT INTO tblWMA (WMADistance, WMARoad, WMAWRTime, WMASex, WMAAge, WMAFactor) VALUES (6.437, 1, 1003, 'M', 43, 0.9329);</t>
  </si>
  <si>
    <t>INSERT INTO tblWMA (WMADistance, WMARoad, WMAWRTime, WMASex, WMAAge, WMAFactor) VALUES (6.437, 1, 1003, 'M', 44, 0.9257);</t>
  </si>
  <si>
    <t>INSERT INTO tblWMA (WMADistance, WMARoad, WMAWRTime, WMASex, WMAAge, WMAFactor) VALUES (6.437, 1, 1003, 'M', 45, 0.9185);</t>
  </si>
  <si>
    <t>INSERT INTO tblWMA (WMADistance, WMARoad, WMAWRTime, WMASex, WMAAge, WMAFactor) VALUES (6.437, 1, 1003, 'M', 46, 0.9113);</t>
  </si>
  <si>
    <t>INSERT INTO tblWMA (WMADistance, WMARoad, WMAWRTime, WMASex, WMAAge, WMAFactor) VALUES (6.437, 1, 1003, 'M', 47, 0.9042);</t>
  </si>
  <si>
    <t>INSERT INTO tblWMA (WMADistance, WMARoad, WMAWRTime, WMASex, WMAAge, WMAFactor) VALUES (6.437, 1, 1003, 'M', 48, 0.897);</t>
  </si>
  <si>
    <t>INSERT INTO tblWMA (WMADistance, WMARoad, WMAWRTime, WMASex, WMAAge, WMAFactor) VALUES (6.437, 1, 1003, 'M', 49, 0.8898);</t>
  </si>
  <si>
    <t>INSERT INTO tblWMA (WMADistance, WMARoad, WMAWRTime, WMASex, WMAAge, WMAFactor) VALUES (6.437, 1, 1003, 'M', 50, 0.8826);</t>
  </si>
  <si>
    <t>INSERT INTO tblWMA (WMADistance, WMARoad, WMAWRTime, WMASex, WMAAge, WMAFactor) VALUES (6.437, 1, 1003, 'M', 51, 0.8754);</t>
  </si>
  <si>
    <t>INSERT INTO tblWMA (WMADistance, WMARoad, WMAWRTime, WMASex, WMAAge, WMAFactor) VALUES (6.437, 1, 1003, 'M', 52, 0.8683);</t>
  </si>
  <si>
    <t>INSERT INTO tblWMA (WMADistance, WMARoad, WMAWRTime, WMASex, WMAAge, WMAFactor) VALUES (6.437, 1, 1003, 'M', 53, 0.8611);</t>
  </si>
  <si>
    <t>INSERT INTO tblWMA (WMADistance, WMARoad, WMAWRTime, WMASex, WMAAge, WMAFactor) VALUES (6.437, 1, 1003, 'M', 54, 0.8539);</t>
  </si>
  <si>
    <t>INSERT INTO tblWMA (WMADistance, WMARoad, WMAWRTime, WMASex, WMAAge, WMAFactor) VALUES (6.437, 1, 1003, 'M', 55, 0.8467);</t>
  </si>
  <si>
    <t>INSERT INTO tblWMA (WMADistance, WMARoad, WMAWRTime, WMASex, WMAAge, WMAFactor) VALUES (6.437, 1, 1003, 'M', 56, 0.8395);</t>
  </si>
  <si>
    <t>INSERT INTO tblWMA (WMADistance, WMARoad, WMAWRTime, WMASex, WMAAge, WMAFactor) VALUES (6.437, 1, 1003, 'M', 57, 0.8323);</t>
  </si>
  <si>
    <t>INSERT INTO tblWMA (WMADistance, WMARoad, WMAWRTime, WMASex, WMAAge, WMAFactor) VALUES (6.437, 1, 1003, 'M', 58, 0.8252);</t>
  </si>
  <si>
    <t>INSERT INTO tblWMA (WMADistance, WMARoad, WMAWRTime, WMASex, WMAAge, WMAFactor) VALUES (6.437, 1, 1003, 'M', 59, 0.818);</t>
  </si>
  <si>
    <t>INSERT INTO tblWMA (WMADistance, WMARoad, WMAWRTime, WMASex, WMAAge, WMAFactor) VALUES (6.437, 1, 1003, 'M', 60, 0.8108);</t>
  </si>
  <si>
    <t>INSERT INTO tblWMA (WMADistance, WMARoad, WMAWRTime, WMASex, WMAAge, WMAFactor) VALUES (6.437, 1, 1003, 'M', 61, 0.8036);</t>
  </si>
  <si>
    <t>INSERT INTO tblWMA (WMADistance, WMARoad, WMAWRTime, WMASex, WMAAge, WMAFactor) VALUES (6.437, 1, 1003, 'M', 62, 0.7964);</t>
  </si>
  <si>
    <t>INSERT INTO tblWMA (WMADistance, WMARoad, WMAWRTime, WMASex, WMAAge, WMAFactor) VALUES (6.437, 1, 1003, 'M', 63, 0.7892);</t>
  </si>
  <si>
    <t>INSERT INTO tblWMA (WMADistance, WMARoad, WMAWRTime, WMASex, WMAAge, WMAFactor) VALUES (6.437, 1, 1003, 'M', 64, 0.7821);</t>
  </si>
  <si>
    <t>INSERT INTO tblWMA (WMADistance, WMARoad, WMAWRTime, WMASex, WMAAge, WMAFactor) VALUES (6.437, 1, 1003, 'M', 65, 0.7749);</t>
  </si>
  <si>
    <t>INSERT INTO tblWMA (WMADistance, WMARoad, WMAWRTime, WMASex, WMAAge, WMAFactor) VALUES (6.437, 1, 1003, 'M', 66, 0.7677);</t>
  </si>
  <si>
    <t>INSERT INTO tblWMA (WMADistance, WMARoad, WMAWRTime, WMASex, WMAAge, WMAFactor) VALUES (6.437, 1, 1003, 'M', 67, 0.7605);</t>
  </si>
  <si>
    <t>INSERT INTO tblWMA (WMADistance, WMARoad, WMAWRTime, WMASex, WMAAge, WMAFactor) VALUES (6.437, 1, 1003, 'M', 68, 0.7533);</t>
  </si>
  <si>
    <t>INSERT INTO tblWMA (WMADistance, WMARoad, WMAWRTime, WMASex, WMAAge, WMAFactor) VALUES (6.437, 1, 1003, 'M', 69, 0.7459);</t>
  </si>
  <si>
    <t>INSERT INTO tblWMA (WMADistance, WMARoad, WMAWRTime, WMASex, WMAAge, WMAFactor) VALUES (6.437, 1, 1003, 'M', 70, 0.7378);</t>
  </si>
  <si>
    <t>INSERT INTO tblWMA (WMADistance, WMARoad, WMAWRTime, WMASex, WMAAge, WMAFactor) VALUES (6.437, 1, 1003, 'M', 71, 0.7292);</t>
  </si>
  <si>
    <t>INSERT INTO tblWMA (WMADistance, WMARoad, WMAWRTime, WMASex, WMAAge, WMAFactor) VALUES (6.437, 1, 1003, 'M', 72, 0.7199);</t>
  </si>
  <si>
    <t>INSERT INTO tblWMA (WMADistance, WMARoad, WMAWRTime, WMASex, WMAAge, WMAFactor) VALUES (6.437, 1, 1003, 'M', 73, 0.7099);</t>
  </si>
  <si>
    <t>INSERT INTO tblWMA (WMADistance, WMARoad, WMAWRTime, WMASex, WMAAge, WMAFactor) VALUES (6.437, 1, 1003, 'M', 74, 0.6994);</t>
  </si>
  <si>
    <t>INSERT INTO tblWMA (WMADistance, WMARoad, WMAWRTime, WMASex, WMAAge, WMAFactor) VALUES (6.437, 1, 1003, 'M', 75, 0.6882);</t>
  </si>
  <si>
    <t>INSERT INTO tblWMA (WMADistance, WMARoad, WMAWRTime, WMASex, WMAAge, WMAFactor) VALUES (6.437, 1, 1003, 'M', 76, 0.6764);</t>
  </si>
  <si>
    <t>INSERT INTO tblWMA (WMADistance, WMARoad, WMAWRTime, WMASex, WMAAge, WMAFactor) VALUES (6.437, 1, 1003, 'M', 77, 0.664);</t>
  </si>
  <si>
    <t>INSERT INTO tblWMA (WMADistance, WMARoad, WMAWRTime, WMASex, WMAAge, WMAFactor) VALUES (6.437, 1, 1003, 'M', 78, 0.651);</t>
  </si>
  <si>
    <t>INSERT INTO tblWMA (WMADistance, WMARoad, WMAWRTime, WMASex, WMAAge, WMAFactor) VALUES (6.437, 1, 1003, 'M', 79, 0.6374);</t>
  </si>
  <si>
    <t>INSERT INTO tblWMA (WMADistance, WMARoad, WMAWRTime, WMASex, WMAAge, WMAFactor) VALUES (6.437, 1, 1003, 'M', 80, 0.6231);</t>
  </si>
  <si>
    <t>INSERT INTO tblWMA (WMADistance, WMARoad, WMAWRTime, WMASex, WMAAge, WMAFactor) VALUES (6.437, 1, 1003, 'M', 81, 0.6082);</t>
  </si>
  <si>
    <t>INSERT INTO tblWMA (WMADistance, WMARoad, WMAWRTime, WMASex, WMAAge, WMAFactor) VALUES (6.437, 1, 1003, 'M', 82, 0.5927);</t>
  </si>
  <si>
    <t>INSERT INTO tblWMA (WMADistance, WMARoad, WMAWRTime, WMASex, WMAAge, WMAFactor) VALUES (6.437, 1, 1003, 'M', 83, 0.5765);</t>
  </si>
  <si>
    <t>INSERT INTO tblWMA (WMADistance, WMARoad, WMAWRTime, WMASex, WMAAge, WMAFactor) VALUES (6.437, 1, 1003, 'M', 84, 0.5598);</t>
  </si>
  <si>
    <t>INSERT INTO tblWMA (WMADistance, WMARoad, WMAWRTime, WMASex, WMAAge, WMAFactor) VALUES (6.437, 1, 1003, 'M', 85, 0.5424);</t>
  </si>
  <si>
    <t>INSERT INTO tblWMA (WMADistance, WMARoad, WMAWRTime, WMASex, WMAAge, WMAFactor) VALUES (6.437, 1, 1003, 'M', 86, 0.5244);</t>
  </si>
  <si>
    <t>INSERT INTO tblWMA (WMADistance, WMARoad, WMAWRTime, WMASex, WMAAge, WMAFactor) VALUES (6.437, 1, 1003, 'M', 87, 0.5058);</t>
  </si>
  <si>
    <t>INSERT INTO tblWMA (WMADistance, WMARoad, WMAWRTime, WMASex, WMAAge, WMAFactor) VALUES (6.437, 1, 1003, 'M', 88, 0.4865);</t>
  </si>
  <si>
    <t>INSERT INTO tblWMA (WMADistance, WMARoad, WMAWRTime, WMASex, WMAAge, WMAFactor) VALUES (6.437, 1, 1003, 'M', 89, 0.4666);</t>
  </si>
  <si>
    <t>INSERT INTO tblWMA (WMADistance, WMARoad, WMAWRTime, WMASex, WMAAge, WMAFactor) VALUES (6.437, 1, 1003, 'M', 90, 0.4462);</t>
  </si>
  <si>
    <t>INSERT INTO tblWMA (WMADistance, WMARoad, WMAWRTime, WMASex, WMAAge, WMAFactor) VALUES (6.437, 1, 1003, 'M', 91, 0.425);</t>
  </si>
  <si>
    <t>INSERT INTO tblWMA (WMADistance, WMARoad, WMAWRTime, WMASex, WMAAge, WMAFactor) VALUES (6.437, 1, 1003, 'M', 92, 0.4033);</t>
  </si>
  <si>
    <t>INSERT INTO tblWMA (WMADistance, WMARoad, WMAWRTime, WMASex, WMAAge, WMAFactor) VALUES (6.437, 1, 1003, 'M', 93, 0.3809);</t>
  </si>
  <si>
    <t>INSERT INTO tblWMA (WMADistance, WMARoad, WMAWRTime, WMASex, WMAAge, WMAFactor) VALUES (6.437, 1, 1003, 'M', 94, 0.358);</t>
  </si>
  <si>
    <t>INSERT INTO tblWMA (WMADistance, WMARoad, WMAWRTime, WMASex, WMAAge, WMAFactor) VALUES (6.437, 1, 1003, 'M', 95, 0.3344);</t>
  </si>
  <si>
    <t>INSERT INTO tblWMA (WMADistance, WMARoad, WMAWRTime, WMASex, WMAAge, WMAFactor) VALUES (6.437, 1, 1003, 'M', 96, 0.3102);</t>
  </si>
  <si>
    <t>INSERT INTO tblWMA (WMADistance, WMARoad, WMAWRTime, WMASex, WMAAge, WMAFactor) VALUES (6.437, 1, 1003, 'M', 97, 0.2853);</t>
  </si>
  <si>
    <t>INSERT INTO tblWMA (WMADistance, WMARoad, WMAWRTime, WMASex, WMAAge, WMAFactor) VALUES (6.437, 1, 1003, 'M', 98, 0.2598);</t>
  </si>
  <si>
    <t>INSERT INTO tblWMA (WMADistance, WMARoad, WMAWRTime, WMASex, WMAAge, WMAFactor) VALUES (6.437, 1, 1003, 'M', 99, 0.2338);</t>
  </si>
  <si>
    <t>INSERT INTO tblWMA (WMADistance, WMARoad, WMAWRTime, WMASex, WMAAge, WMAFactor) VALUES (6.437, 1, 1003, 'M', 100, 0.2071);</t>
  </si>
  <si>
    <t>INSERT INTO tblWMA (WMADistance, WMARoad, WMAWRTime, WMASex, WMAAge, WMAFactor) VALUES (8, 1, 1257, 'M', 5, 0.6056);</t>
  </si>
  <si>
    <t>INSERT INTO tblWMA (WMADistance, WMARoad, WMAWRTime, WMASex, WMAAge, WMAFactor) VALUES (8, 1, 1257, 'M', 6, 0.6596);</t>
  </si>
  <si>
    <t>INSERT INTO tblWMA (WMADistance, WMARoad, WMAWRTime, WMASex, WMAAge, WMAFactor) VALUES (8, 1, 1257, 'M', 7, 0.7096);</t>
  </si>
  <si>
    <t>INSERT INTO tblWMA (WMADistance, WMARoad, WMAWRTime, WMASex, WMAAge, WMAFactor) VALUES (8, 1, 1257, 'M', 8, 0.7556);</t>
  </si>
  <si>
    <t>INSERT INTO tblWMA (WMADistance, WMARoad, WMAWRTime, WMASex, WMAAge, WMAFactor) VALUES (8, 1, 1257, 'M', 9, 0.7976);</t>
  </si>
  <si>
    <t>INSERT INTO tblWMA (WMADistance, WMARoad, WMAWRTime, WMASex, WMAAge, WMAFactor) VALUES (8, 1, 1257, 'M', 10, 0.8356);</t>
  </si>
  <si>
    <t>INSERT INTO tblWMA (WMADistance, WMARoad, WMAWRTime, WMASex, WMAAge, WMAFactor) VALUES (8, 1, 1257, 'M', 11, 0.8696);</t>
  </si>
  <si>
    <t>INSERT INTO tblWMA (WMADistance, WMARoad, WMAWRTime, WMASex, WMAAge, WMAFactor) VALUES (8, 1, 1257, 'M', 12, 0.8996);</t>
  </si>
  <si>
    <t>INSERT INTO tblWMA (WMADistance, WMARoad, WMAWRTime, WMASex, WMAAge, WMAFactor) VALUES (8, 1, 1257, 'M', 13, 0.9256);</t>
  </si>
  <si>
    <t>INSERT INTO tblWMA (WMADistance, WMARoad, WMAWRTime, WMASex, WMAAge, WMAFactor) VALUES (8, 1, 1257, 'M', 14, 0.9476);</t>
  </si>
  <si>
    <t>INSERT INTO tblWMA (WMADistance, WMARoad, WMAWRTime, WMASex, WMAAge, WMAFactor) VALUES (8, 1, 1257, 'M', 15, 0.9656);</t>
  </si>
  <si>
    <t>INSERT INTO tblWMA (WMADistance, WMARoad, WMAWRTime, WMASex, WMAAge, WMAFactor) VALUES (8, 1, 1257, 'M', 16, 0.9796);</t>
  </si>
  <si>
    <t>INSERT INTO tblWMA (WMADistance, WMARoad, WMAWRTime, WMASex, WMAAge, WMAFactor) VALUES (8, 1, 1257, 'M', 17, 0.9916);</t>
  </si>
  <si>
    <t>INSERT INTO tblWMA (WMADistance, WMARoad, WMAWRTime, WMASex, WMAAge, WMAFactor) VALUES (8, 1, 1257, 'M', 18, 0.9993);</t>
  </si>
  <si>
    <t>INSERT INTO tblWMA (WMADistance, WMARoad, WMAWRTime, WMASex, WMAAge, WMAFactor) VALUES (8, 1, 1257, 'M', 19, 1);</t>
  </si>
  <si>
    <t>INSERT INTO tblWMA (WMADistance, WMARoad, WMAWRTime, WMASex, WMAAge, WMAFactor) VALUES (8, 1, 1257, 'M', 20, 1);</t>
  </si>
  <si>
    <t>INSERT INTO tblWMA (WMADistance, WMARoad, WMAWRTime, WMASex, WMAAge, WMAFactor) VALUES (8, 1, 1257, 'M', 21, 1);</t>
  </si>
  <si>
    <t>INSERT INTO tblWMA (WMADistance, WMARoad, WMAWRTime, WMASex, WMAAge, WMAFactor) VALUES (8, 1, 1257, 'M', 22, 1);</t>
  </si>
  <si>
    <t>INSERT INTO tblWMA (WMADistance, WMARoad, WMAWRTime, WMASex, WMAAge, WMAFactor) VALUES (8, 1, 1257, 'M', 23, 1);</t>
  </si>
  <si>
    <t>INSERT INTO tblWMA (WMADistance, WMARoad, WMAWRTime, WMASex, WMAAge, WMAFactor) VALUES (8, 1, 1257, 'M', 24, 1);</t>
  </si>
  <si>
    <t>INSERT INTO tblWMA (WMADistance, WMARoad, WMAWRTime, WMASex, WMAAge, WMAFactor) VALUES (8, 1, 1257, 'M', 25, 1);</t>
  </si>
  <si>
    <t>INSERT INTO tblWMA (WMADistance, WMARoad, WMAWRTime, WMASex, WMAAge, WMAFactor) VALUES (8, 1, 1257, 'M', 26, 1);</t>
  </si>
  <si>
    <t>INSERT INTO tblWMA (WMADistance, WMARoad, WMAWRTime, WMASex, WMAAge, WMAFactor) VALUES (8, 1, 1257, 'M', 27, 1);</t>
  </si>
  <si>
    <t>INSERT INTO tblWMA (WMADistance, WMARoad, WMAWRTime, WMASex, WMAAge, WMAFactor) VALUES (8, 1, 1257, 'M', 28, 1);</t>
  </si>
  <si>
    <t>INSERT INTO tblWMA (WMADistance, WMARoad, WMAWRTime, WMASex, WMAAge, WMAFactor) VALUES (8, 1, 1257, 'M', 29, 1);</t>
  </si>
  <si>
    <t>INSERT INTO tblWMA (WMADistance, WMARoad, WMAWRTime, WMASex, WMAAge, WMAFactor) VALUES (8, 1, 1257, 'M', 30, 1);</t>
  </si>
  <si>
    <t>INSERT INTO tblWMA (WMADistance, WMARoad, WMAWRTime, WMASex, WMAAge, WMAFactor) VALUES (8, 1, 1257, 'M', 31, 0.9995);</t>
  </si>
  <si>
    <t>INSERT INTO tblWMA (WMADistance, WMARoad, WMAWRTime, WMASex, WMAAge, WMAFactor) VALUES (8, 1, 1257, 'M', 32, 0.9982);</t>
  </si>
  <si>
    <t>INSERT INTO tblWMA (WMADistance, WMARoad, WMAWRTime, WMASex, WMAAge, WMAFactor) VALUES (8, 1, 1257, 'M', 33, 0.996);</t>
  </si>
  <si>
    <t>INSERT INTO tblWMA (WMADistance, WMARoad, WMAWRTime, WMASex, WMAAge, WMAFactor) VALUES (8, 1, 1257, 'M', 34, 0.9931);</t>
  </si>
  <si>
    <t>INSERT INTO tblWMA (WMADistance, WMARoad, WMAWRTime, WMASex, WMAAge, WMAFactor) VALUES (8, 1, 1257, 'M', 35, 0.9893);</t>
  </si>
  <si>
    <t>INSERT INTO tblWMA (WMADistance, WMARoad, WMAWRTime, WMASex, WMAAge, WMAFactor) VALUES (8, 1, 1257, 'M', 36, 0.9848);</t>
  </si>
  <si>
    <t>INSERT INTO tblWMA (WMADistance, WMARoad, WMAWRTime, WMASex, WMAAge, WMAFactor) VALUES (8, 1, 1257, 'M', 37, 0.9794);</t>
  </si>
  <si>
    <t>INSERT INTO tblWMA (WMADistance, WMARoad, WMAWRTime, WMASex, WMAAge, WMAFactor) VALUES (8, 1, 1257, 'M', 38, 0.9732);</t>
  </si>
  <si>
    <t>INSERT INTO tblWMA (WMADistance, WMARoad, WMAWRTime, WMASex, WMAAge, WMAFactor) VALUES (8, 1, 1257, 'M', 39, 0.9662);</t>
  </si>
  <si>
    <t>INSERT INTO tblWMA (WMADistance, WMARoad, WMAWRTime, WMASex, WMAAge, WMAFactor) VALUES (8, 1, 1257, 'M', 40, 0.9589);</t>
  </si>
  <si>
    <t>INSERT INTO tblWMA (WMADistance, WMARoad, WMAWRTime, WMASex, WMAAge, WMAFactor) VALUES (8, 1, 1257, 'M', 41, 0.9515);</t>
  </si>
  <si>
    <t>INSERT INTO tblWMA (WMADistance, WMARoad, WMAWRTime, WMASex, WMAAge, WMAFactor) VALUES (8, 1, 1257, 'M', 42, 0.9442);</t>
  </si>
  <si>
    <t>INSERT INTO tblWMA (WMADistance, WMARoad, WMAWRTime, WMASex, WMAAge, WMAFactor) VALUES (8, 1, 1257, 'M', 43, 0.9368);</t>
  </si>
  <si>
    <t>INSERT INTO tblWMA (WMADistance, WMARoad, WMAWRTime, WMASex, WMAAge, WMAFactor) VALUES (8, 1, 1257, 'M', 44, 0.9295);</t>
  </si>
  <si>
    <t>INSERT INTO tblWMA (WMADistance, WMARoad, WMAWRTime, WMASex, WMAAge, WMAFactor) VALUES (8, 1, 1257, 'M', 45, 0.9222);</t>
  </si>
  <si>
    <t>INSERT INTO tblWMA (WMADistance, WMARoad, WMAWRTime, WMASex, WMAAge, WMAFactor) VALUES (8, 1, 1257, 'M', 46, 0.9148);</t>
  </si>
  <si>
    <t>INSERT INTO tblWMA (WMADistance, WMARoad, WMAWRTime, WMASex, WMAAge, WMAFactor) VALUES (8, 1, 1257, 'M', 47, 0.9075);</t>
  </si>
  <si>
    <t>INSERT INTO tblWMA (WMADistance, WMARoad, WMAWRTime, WMASex, WMAAge, WMAFactor) VALUES (8, 1, 1257, 'M', 48, 0.9001);</t>
  </si>
  <si>
    <t>INSERT INTO tblWMA (WMADistance, WMARoad, WMAWRTime, WMASex, WMAAge, WMAFactor) VALUES (8, 1, 1257, 'M', 49, 0.8928);</t>
  </si>
  <si>
    <t>INSERT INTO tblWMA (WMADistance, WMARoad, WMAWRTime, WMASex, WMAAge, WMAFactor) VALUES (8, 1, 1257, 'M', 50, 0.8855);</t>
  </si>
  <si>
    <t>INSERT INTO tblWMA (WMADistance, WMARoad, WMAWRTime, WMASex, WMAAge, WMAFactor) VALUES (8, 1, 1257, 'M', 51, 0.8781);</t>
  </si>
  <si>
    <t>INSERT INTO tblWMA (WMADistance, WMARoad, WMAWRTime, WMASex, WMAAge, WMAFactor) VALUES (8, 1, 1257, 'M', 52, 0.8708);</t>
  </si>
  <si>
    <t>INSERT INTO tblWMA (WMADistance, WMARoad, WMAWRTime, WMASex, WMAAge, WMAFactor) VALUES (8, 1, 1257, 'M', 53, 0.8634);</t>
  </si>
  <si>
    <t>INSERT INTO tblWMA (WMADistance, WMARoad, WMAWRTime, WMASex, WMAAge, WMAFactor) VALUES (8, 1, 1257, 'M', 54, 0.8561);</t>
  </si>
  <si>
    <t>INSERT INTO tblWMA (WMADistance, WMARoad, WMAWRTime, WMASex, WMAAge, WMAFactor) VALUES (8, 1, 1257, 'M', 55, 0.8488);</t>
  </si>
  <si>
    <t>INSERT INTO tblWMA (WMADistance, WMARoad, WMAWRTime, WMASex, WMAAge, WMAFactor) VALUES (8, 1, 1257, 'M', 56, 0.8414);</t>
  </si>
  <si>
    <t>INSERT INTO tblWMA (WMADistance, WMARoad, WMAWRTime, WMASex, WMAAge, WMAFactor) VALUES (8, 1, 1257, 'M', 57, 0.8341);</t>
  </si>
  <si>
    <t>INSERT INTO tblWMA (WMADistance, WMARoad, WMAWRTime, WMASex, WMAAge, WMAFactor) VALUES (8, 1, 1257, 'M', 58, 0.8268);</t>
  </si>
  <si>
    <t>INSERT INTO tblWMA (WMADistance, WMARoad, WMAWRTime, WMASex, WMAAge, WMAFactor) VALUES (8, 1, 1257, 'M', 59, 0.8194);</t>
  </si>
  <si>
    <t>INSERT INTO tblWMA (WMADistance, WMARoad, WMAWRTime, WMASex, WMAAge, WMAFactor) VALUES (8, 1, 1257, 'M', 60, 0.8121);</t>
  </si>
  <si>
    <t>INSERT INTO tblWMA (WMADistance, WMARoad, WMAWRTime, WMASex, WMAAge, WMAFactor) VALUES (8, 1, 1257, 'M', 61, 0.8047);</t>
  </si>
  <si>
    <t>INSERT INTO tblWMA (WMADistance, WMARoad, WMAWRTime, WMASex, WMAAge, WMAFactor) VALUES (8, 1, 1257, 'M', 62, 0.7974);</t>
  </si>
  <si>
    <t>INSERT INTO tblWMA (WMADistance, WMARoad, WMAWRTime, WMASex, WMAAge, WMAFactor) VALUES (8, 1, 1257, 'M', 63, 0.7901);</t>
  </si>
  <si>
    <t>INSERT INTO tblWMA (WMADistance, WMARoad, WMAWRTime, WMASex, WMAAge, WMAFactor) VALUES (8, 1, 1257, 'M', 64, 0.7827);</t>
  </si>
  <si>
    <t>INSERT INTO tblWMA (WMADistance, WMARoad, WMAWRTime, WMASex, WMAAge, WMAFactor) VALUES (8, 1, 1257, 'M', 65, 0.7754);</t>
  </si>
  <si>
    <t>INSERT INTO tblWMA (WMADistance, WMARoad, WMAWRTime, WMASex, WMAAge, WMAFactor) VALUES (8, 1, 1257, 'M', 66, 0.768);</t>
  </si>
  <si>
    <t>INSERT INTO tblWMA (WMADistance, WMARoad, WMAWRTime, WMASex, WMAAge, WMAFactor) VALUES (8, 1, 1257, 'M', 67, 0.7607);</t>
  </si>
  <si>
    <t>INSERT INTO tblWMA (WMADistance, WMARoad, WMAWRTime, WMASex, WMAAge, WMAFactor) VALUES (8, 1, 1257, 'M', 68, 0.7534);</t>
  </si>
  <si>
    <t>INSERT INTO tblWMA (WMADistance, WMARoad, WMAWRTime, WMASex, WMAAge, WMAFactor) VALUES (8, 1, 1257, 'M', 69, 0.746);</t>
  </si>
  <si>
    <t>INSERT INTO tblWMA (WMADistance, WMARoad, WMAWRTime, WMASex, WMAAge, WMAFactor) VALUES (8, 1, 1257, 'M', 70, 0.7384);</t>
  </si>
  <si>
    <t>INSERT INTO tblWMA (WMADistance, WMARoad, WMAWRTime, WMASex, WMAAge, WMAFactor) VALUES (8, 1, 1257, 'M', 71, 0.7301);</t>
  </si>
  <si>
    <t>INSERT INTO tblWMA (WMADistance, WMARoad, WMAWRTime, WMASex, WMAAge, WMAFactor) VALUES (8, 1, 1257, 'M', 72, 0.7212);</t>
  </si>
  <si>
    <t>INSERT INTO tblWMA (WMADistance, WMARoad, WMAWRTime, WMASex, WMAAge, WMAFactor) VALUES (8, 1, 1257, 'M', 73, 0.7116);</t>
  </si>
  <si>
    <t>INSERT INTO tblWMA (WMADistance, WMARoad, WMAWRTime, WMASex, WMAAge, WMAFactor) VALUES (8, 1, 1257, 'M', 74, 0.7014);</t>
  </si>
  <si>
    <t>INSERT INTO tblWMA (WMADistance, WMARoad, WMAWRTime, WMASex, WMAAge, WMAFactor) VALUES (8, 1, 1257, 'M', 75, 0.6905);</t>
  </si>
  <si>
    <t>INSERT INTO tblWMA (WMADistance, WMARoad, WMAWRTime, WMASex, WMAAge, WMAFactor) VALUES (8, 1, 1257, 'M', 76, 0.679);</t>
  </si>
  <si>
    <t>INSERT INTO tblWMA (WMADistance, WMARoad, WMAWRTime, WMASex, WMAAge, WMAFactor) VALUES (8, 1, 1257, 'M', 77, 0.6668);</t>
  </si>
  <si>
    <t>INSERT INTO tblWMA (WMADistance, WMARoad, WMAWRTime, WMASex, WMAAge, WMAFactor) VALUES (8, 1, 1257, 'M', 78, 0.654);</t>
  </si>
  <si>
    <t>INSERT INTO tblWMA (WMADistance, WMARoad, WMAWRTime, WMASex, WMAAge, WMAFactor) VALUES (8, 1, 1257, 'M', 79, 0.6406);</t>
  </si>
  <si>
    <t>INSERT INTO tblWMA (WMADistance, WMARoad, WMAWRTime, WMASex, WMAAge, WMAFactor) VALUES (8, 1, 1257, 'M', 80, 0.6265);</t>
  </si>
  <si>
    <t>INSERT INTO tblWMA (WMADistance, WMARoad, WMAWRTime, WMASex, WMAAge, WMAFactor) VALUES (8, 1, 1257, 'M', 81, 0.6117);</t>
  </si>
  <si>
    <t>INSERT INTO tblWMA (WMADistance, WMARoad, WMAWRTime, WMASex, WMAAge, WMAFactor) VALUES (8, 1, 1257, 'M', 82, 0.5964);</t>
  </si>
  <si>
    <t>INSERT INTO tblWMA (WMADistance, WMARoad, WMAWRTime, WMASex, WMAAge, WMAFactor) VALUES (8, 1, 1257, 'M', 83, 0.5803);</t>
  </si>
  <si>
    <t>INSERT INTO tblWMA (WMADistance, WMARoad, WMAWRTime, WMASex, WMAAge, WMAFactor) VALUES (8, 1, 1257, 'M', 84, 0.5636);</t>
  </si>
  <si>
    <t>INSERT INTO tblWMA (WMADistance, WMARoad, WMAWRTime, WMASex, WMAAge, WMAFactor) VALUES (8, 1, 1257, 'M', 85, 0.5463);</t>
  </si>
  <si>
    <t>INSERT INTO tblWMA (WMADistance, WMARoad, WMAWRTime, WMASex, WMAAge, WMAFactor) VALUES (8, 1, 1257, 'M', 86, 0.5284);</t>
  </si>
  <si>
    <t>INSERT INTO tblWMA (WMADistance, WMARoad, WMAWRTime, WMASex, WMAAge, WMAFactor) VALUES (8, 1, 1257, 'M', 87, 0.5097);</t>
  </si>
  <si>
    <t>INSERT INTO tblWMA (WMADistance, WMARoad, WMAWRTime, WMASex, WMAAge, WMAFactor) VALUES (8, 1, 1257, 'M', 88, 0.4905);</t>
  </si>
  <si>
    <t>INSERT INTO tblWMA (WMADistance, WMARoad, WMAWRTime, WMASex, WMAAge, WMAFactor) VALUES (8, 1, 1257, 'M', 89, 0.4706);</t>
  </si>
  <si>
    <t>INSERT INTO tblWMA (WMADistance, WMARoad, WMAWRTime, WMASex, WMAAge, WMAFactor) VALUES (8, 1, 1257, 'M', 90, 0.45);</t>
  </si>
  <si>
    <t>INSERT INTO tblWMA (WMADistance, WMARoad, WMAWRTime, WMASex, WMAAge, WMAFactor) VALUES (8, 1, 1257, 'M', 91, 0.4288);</t>
  </si>
  <si>
    <t>INSERT INTO tblWMA (WMADistance, WMARoad, WMAWRTime, WMASex, WMAAge, WMAFactor) VALUES (8, 1, 1257, 'M', 92, 0.407);</t>
  </si>
  <si>
    <t>INSERT INTO tblWMA (WMADistance, WMARoad, WMAWRTime, WMASex, WMAAge, WMAFactor) VALUES (8, 1, 1257, 'M', 93, 0.3845);</t>
  </si>
  <si>
    <t>INSERT INTO tblWMA (WMADistance, WMARoad, WMAWRTime, WMASex, WMAAge, WMAFactor) VALUES (8, 1, 1257, 'M', 94, 0.3614);</t>
  </si>
  <si>
    <t>INSERT INTO tblWMA (WMADistance, WMARoad, WMAWRTime, WMASex, WMAAge, WMAFactor) VALUES (8, 1, 1257, 'M', 95, 0.3376);</t>
  </si>
  <si>
    <t>INSERT INTO tblWMA (WMADistance, WMARoad, WMAWRTime, WMASex, WMAAge, WMAFactor) VALUES (8, 1, 1257, 'M', 96, 0.3132);</t>
  </si>
  <si>
    <t>INSERT INTO tblWMA (WMADistance, WMARoad, WMAWRTime, WMASex, WMAAge, WMAFactor) VALUES (8, 1, 1257, 'M', 97, 0.2881);</t>
  </si>
  <si>
    <t>INSERT INTO tblWMA (WMADistance, WMARoad, WMAWRTime, WMASex, WMAAge, WMAFactor) VALUES (8, 1, 1257, 'M', 98, 0.2624);</t>
  </si>
  <si>
    <t>INSERT INTO tblWMA (WMADistance, WMARoad, WMAWRTime, WMASex, WMAAge, WMAFactor) VALUES (8, 1, 1257, 'M', 99, 0.236);</t>
  </si>
  <si>
    <t>INSERT INTO tblWMA (WMADistance, WMARoad, WMAWRTime, WMASex, WMAAge, WMAFactor) VALUES (8, 1, 1257, 'M', 100, 0.209);</t>
  </si>
  <si>
    <t>INSERT INTO tblWMA (WMADistance, WMARoad, WMAWRTime, WMASex, WMAAge, WMAFactor) VALUES (8.047, 1, 1264, 'M', 5, 0.6056);</t>
  </si>
  <si>
    <t>INSERT INTO tblWMA (WMADistance, WMARoad, WMAWRTime, WMASex, WMAAge, WMAFactor) VALUES (8.047, 1, 1264, 'M', 6, 0.6596);</t>
  </si>
  <si>
    <t>INSERT INTO tblWMA (WMADistance, WMARoad, WMAWRTime, WMASex, WMAAge, WMAFactor) VALUES (8.047, 1, 1264, 'M', 7, 0.7096);</t>
  </si>
  <si>
    <t>INSERT INTO tblWMA (WMADistance, WMARoad, WMAWRTime, WMASex, WMAAge, WMAFactor) VALUES (8.047, 1, 1264, 'M', 8, 0.7556);</t>
  </si>
  <si>
    <t>INSERT INTO tblWMA (WMADistance, WMARoad, WMAWRTime, WMASex, WMAAge, WMAFactor) VALUES (8.047, 1, 1264, 'M', 9, 0.7976);</t>
  </si>
  <si>
    <t>INSERT INTO tblWMA (WMADistance, WMARoad, WMAWRTime, WMASex, WMAAge, WMAFactor) VALUES (8.047, 1, 1264, 'M', 10, 0.8356);</t>
  </si>
  <si>
    <t>INSERT INTO tblWMA (WMADistance, WMARoad, WMAWRTime, WMASex, WMAAge, WMAFactor) VALUES (8.047, 1, 1264, 'M', 11, 0.8696);</t>
  </si>
  <si>
    <t>INSERT INTO tblWMA (WMADistance, WMARoad, WMAWRTime, WMASex, WMAAge, WMAFactor) VALUES (8.047, 1, 1264, 'M', 12, 0.8996);</t>
  </si>
  <si>
    <t>INSERT INTO tblWMA (WMADistance, WMARoad, WMAWRTime, WMASex, WMAAge, WMAFactor) VALUES (8.047, 1, 1264, 'M', 13, 0.9256);</t>
  </si>
  <si>
    <t>INSERT INTO tblWMA (WMADistance, WMARoad, WMAWRTime, WMASex, WMAAge, WMAFactor) VALUES (8.047, 1, 1264, 'M', 14, 0.9476);</t>
  </si>
  <si>
    <t>INSERT INTO tblWMA (WMADistance, WMARoad, WMAWRTime, WMASex, WMAAge, WMAFactor) VALUES (8.047, 1, 1264, 'M', 15, 0.9656);</t>
  </si>
  <si>
    <t>INSERT INTO tblWMA (WMADistance, WMARoad, WMAWRTime, WMASex, WMAAge, WMAFactor) VALUES (8.047, 1, 1264, 'M', 16, 0.9796);</t>
  </si>
  <si>
    <t>INSERT INTO tblWMA (WMADistance, WMARoad, WMAWRTime, WMASex, WMAAge, WMAFactor) VALUES (8.047, 1, 1264, 'M', 17, 0.9916);</t>
  </si>
  <si>
    <t>INSERT INTO tblWMA (WMADistance, WMARoad, WMAWRTime, WMASex, WMAAge, WMAFactor) VALUES (8.047, 1, 1264, 'M', 18, 0.9993);</t>
  </si>
  <si>
    <t>INSERT INTO tblWMA (WMADistance, WMARoad, WMAWRTime, WMASex, WMAAge, WMAFactor) VALUES (8.047, 1, 1264, 'M', 19, 1);</t>
  </si>
  <si>
    <t>INSERT INTO tblWMA (WMADistance, WMARoad, WMAWRTime, WMASex, WMAAge, WMAFactor) VALUES (8.047, 1, 1264, 'M', 20, 1);</t>
  </si>
  <si>
    <t>INSERT INTO tblWMA (WMADistance, WMARoad, WMAWRTime, WMASex, WMAAge, WMAFactor) VALUES (8.047, 1, 1264, 'M', 21, 1);</t>
  </si>
  <si>
    <t>INSERT INTO tblWMA (WMADistance, WMARoad, WMAWRTime, WMASex, WMAAge, WMAFactor) VALUES (8.047, 1, 1264, 'M', 22, 1);</t>
  </si>
  <si>
    <t>INSERT INTO tblWMA (WMADistance, WMARoad, WMAWRTime, WMASex, WMAAge, WMAFactor) VALUES (8.047, 1, 1264, 'M', 23, 1);</t>
  </si>
  <si>
    <t>INSERT INTO tblWMA (WMADistance, WMARoad, WMAWRTime, WMASex, WMAAge, WMAFactor) VALUES (8.047, 1, 1264, 'M', 24, 1);</t>
  </si>
  <si>
    <t>INSERT INTO tblWMA (WMADistance, WMARoad, WMAWRTime, WMASex, WMAAge, WMAFactor) VALUES (8.047, 1, 1264, 'M', 25, 1);</t>
  </si>
  <si>
    <t>INSERT INTO tblWMA (WMADistance, WMARoad, WMAWRTime, WMASex, WMAAge, WMAFactor) VALUES (8.047, 1, 1264, 'M', 26, 1);</t>
  </si>
  <si>
    <t>INSERT INTO tblWMA (WMADistance, WMARoad, WMAWRTime, WMASex, WMAAge, WMAFactor) VALUES (8.047, 1, 1264, 'M', 27, 1);</t>
  </si>
  <si>
    <t>INSERT INTO tblWMA (WMADistance, WMARoad, WMAWRTime, WMASex, WMAAge, WMAFactor) VALUES (8.047, 1, 1264, 'M', 28, 1);</t>
  </si>
  <si>
    <t>INSERT INTO tblWMA (WMADistance, WMARoad, WMAWRTime, WMASex, WMAAge, WMAFactor) VALUES (8.047, 1, 1264, 'M', 29, 1);</t>
  </si>
  <si>
    <t>INSERT INTO tblWMA (WMADistance, WMARoad, WMAWRTime, WMASex, WMAAge, WMAFactor) VALUES (8.047, 1, 1264, 'M', 30, 1);</t>
  </si>
  <si>
    <t>INSERT INTO tblWMA (WMADistance, WMARoad, WMAWRTime, WMASex, WMAAge, WMAFactor) VALUES (8.047, 1, 1264, 'M', 31, 0.9995);</t>
  </si>
  <si>
    <t>INSERT INTO tblWMA (WMADistance, WMARoad, WMAWRTime, WMASex, WMAAge, WMAFactor) VALUES (8.047, 1, 1264, 'M', 32, 0.9982);</t>
  </si>
  <si>
    <t>INSERT INTO tblWMA (WMADistance, WMARoad, WMAWRTime, WMASex, WMAAge, WMAFactor) VALUES (8.047, 1, 1264, 'M', 33, 0.996);</t>
  </si>
  <si>
    <t>INSERT INTO tblWMA (WMADistance, WMARoad, WMAWRTime, WMASex, WMAAge, WMAFactor) VALUES (8.047, 1, 1264, 'M', 34, 0.9931);</t>
  </si>
  <si>
    <t>INSERT INTO tblWMA (WMADistance, WMARoad, WMAWRTime, WMASex, WMAAge, WMAFactor) VALUES (8.047, 1, 1264, 'M', 35, 0.9894);</t>
  </si>
  <si>
    <t>INSERT INTO tblWMA (WMADistance, WMARoad, WMAWRTime, WMASex, WMAAge, WMAFactor) VALUES (8.047, 1, 1264, 'M', 36, 0.9848);</t>
  </si>
  <si>
    <t>INSERT INTO tblWMA (WMADistance, WMARoad, WMAWRTime, WMASex, WMAAge, WMAFactor) VALUES (8.047, 1, 1264, 'M', 37, 0.9795);</t>
  </si>
  <si>
    <t>INSERT INTO tblWMA (WMADistance, WMARoad, WMAWRTime, WMASex, WMAAge, WMAFactor) VALUES (8.047, 1, 1264, 'M', 38, 0.9733);</t>
  </si>
  <si>
    <t>INSERT INTO tblWMA (WMADistance, WMARoad, WMAWRTime, WMASex, WMAAge, WMAFactor) VALUES (8.047, 1, 1264, 'M', 39, 0.9663);</t>
  </si>
  <si>
    <t>INSERT INTO tblWMA (WMADistance, WMARoad, WMAWRTime, WMASex, WMAAge, WMAFactor) VALUES (8.047, 1, 1264, 'M', 40, 0.959);</t>
  </si>
  <si>
    <t>INSERT INTO tblWMA (WMADistance, WMARoad, WMAWRTime, WMASex, WMAAge, WMAFactor) VALUES (8.047, 1, 1264, 'M', 41, 0.9516);</t>
  </si>
  <si>
    <t>INSERT INTO tblWMA (WMADistance, WMARoad, WMAWRTime, WMASex, WMAAge, WMAFactor) VALUES (8.047, 1, 1264, 'M', 42, 0.9443);</t>
  </si>
  <si>
    <t>INSERT INTO tblWMA (WMADistance, WMARoad, WMAWRTime, WMASex, WMAAge, WMAFactor) VALUES (8.047, 1, 1264, 'M', 43, 0.9369);</t>
  </si>
  <si>
    <t>INSERT INTO tblWMA (WMADistance, WMARoad, WMAWRTime, WMASex, WMAAge, WMAFactor) VALUES (8.047, 1, 1264, 'M', 44, 0.9296);</t>
  </si>
  <si>
    <t>INSERT INTO tblWMA (WMADistance, WMARoad, WMAWRTime, WMASex, WMAAge, WMAFactor) VALUES (8.047, 1, 1264, 'M', 45, 0.9223);</t>
  </si>
  <si>
    <t>INSERT INTO tblWMA (WMADistance, WMARoad, WMAWRTime, WMASex, WMAAge, WMAFactor) VALUES (8.047, 1, 1264, 'M', 46, 0.9149);</t>
  </si>
  <si>
    <t>INSERT INTO tblWMA (WMADistance, WMARoad, WMAWRTime, WMASex, WMAAge, WMAFactor) VALUES (8.047, 1, 1264, 'M', 47, 0.9076);</t>
  </si>
  <si>
    <t>INSERT INTO tblWMA (WMADistance, WMARoad, WMAWRTime, WMASex, WMAAge, WMAFactor) VALUES (8.047, 1, 1264, 'M', 48, 0.9002);</t>
  </si>
  <si>
    <t>INSERT INTO tblWMA (WMADistance, WMARoad, WMAWRTime, WMASex, WMAAge, WMAFactor) VALUES (8.047, 1, 1264, 'M', 49, 0.8929);</t>
  </si>
  <si>
    <t>INSERT INTO tblWMA (WMADistance, WMARoad, WMAWRTime, WMASex, WMAAge, WMAFactor) VALUES (8.047, 1, 1264, 'M', 50, 0.8855);</t>
  </si>
  <si>
    <t>INSERT INTO tblWMA (WMADistance, WMARoad, WMAWRTime, WMASex, WMAAge, WMAFactor) VALUES (8.047, 1, 1264, 'M', 51, 0.8782);</t>
  </si>
  <si>
    <t>INSERT INTO tblWMA (WMADistance, WMARoad, WMAWRTime, WMASex, WMAAge, WMAFactor) VALUES (8.047, 1, 1264, 'M', 52, 0.8709);</t>
  </si>
  <si>
    <t>INSERT INTO tblWMA (WMADistance, WMARoad, WMAWRTime, WMASex, WMAAge, WMAFactor) VALUES (8.047, 1, 1264, 'M', 53, 0.8635);</t>
  </si>
  <si>
    <t>INSERT INTO tblWMA (WMADistance, WMARoad, WMAWRTime, WMASex, WMAAge, WMAFactor) VALUES (8.047, 1, 1264, 'M', 54, 0.8562);</t>
  </si>
  <si>
    <t>INSERT INTO tblWMA (WMADistance, WMARoad, WMAWRTime, WMASex, WMAAge, WMAFactor) VALUES (8.047, 1, 1264, 'M', 55, 0.8488);</t>
  </si>
  <si>
    <t>INSERT INTO tblWMA (WMADistance, WMARoad, WMAWRTime, WMASex, WMAAge, WMAFactor) VALUES (8.047, 1, 1264, 'M', 56, 0.8415);</t>
  </si>
  <si>
    <t>INSERT INTO tblWMA (WMADistance, WMARoad, WMAWRTime, WMASex, WMAAge, WMAFactor) VALUES (8.047, 1, 1264, 'M', 57, 0.8341);</t>
  </si>
  <si>
    <t>INSERT INTO tblWMA (WMADistance, WMARoad, WMAWRTime, WMASex, WMAAge, WMAFactor) VALUES (8.047, 1, 1264, 'M', 58, 0.8268);</t>
  </si>
  <si>
    <t>INSERT INTO tblWMA (WMADistance, WMARoad, WMAWRTime, WMASex, WMAAge, WMAFactor) VALUES (8.047, 1, 1264, 'M', 59, 0.8195);</t>
  </si>
  <si>
    <t>INSERT INTO tblWMA (WMADistance, WMARoad, WMAWRTime, WMASex, WMAAge, WMAFactor) VALUES (8.047, 1, 1264, 'M', 60, 0.8121);</t>
  </si>
  <si>
    <t>INSERT INTO tblWMA (WMADistance, WMARoad, WMAWRTime, WMASex, WMAAge, WMAFactor) VALUES (8.047, 1, 1264, 'M', 61, 0.8048);</t>
  </si>
  <si>
    <t>INSERT INTO tblWMA (WMADistance, WMARoad, WMAWRTime, WMASex, WMAAge, WMAFactor) VALUES (8.047, 1, 1264, 'M', 62, 0.7974);</t>
  </si>
  <si>
    <t>INSERT INTO tblWMA (WMADistance, WMARoad, WMAWRTime, WMASex, WMAAge, WMAFactor) VALUES (8.047, 1, 1264, 'M', 63, 0.7901);</t>
  </si>
  <si>
    <t>INSERT INTO tblWMA (WMADistance, WMARoad, WMAWRTime, WMASex, WMAAge, WMAFactor) VALUES (8.047, 1, 1264, 'M', 64, 0.7827);</t>
  </si>
  <si>
    <t>INSERT INTO tblWMA (WMADistance, WMARoad, WMAWRTime, WMASex, WMAAge, WMAFactor) VALUES (8.047, 1, 1264, 'M', 65, 0.7754);</t>
  </si>
  <si>
    <t>INSERT INTO tblWMA (WMADistance, WMARoad, WMAWRTime, WMASex, WMAAge, WMAFactor) VALUES (8.047, 1, 1264, 'M', 66, 0.7681);</t>
  </si>
  <si>
    <t>INSERT INTO tblWMA (WMADistance, WMARoad, WMAWRTime, WMASex, WMAAge, WMAFactor) VALUES (8.047, 1, 1264, 'M', 67, 0.7607);</t>
  </si>
  <si>
    <t>INSERT INTO tblWMA (WMADistance, WMARoad, WMAWRTime, WMASex, WMAAge, WMAFactor) VALUES (8.047, 1, 1264, 'M', 68, 0.7534);</t>
  </si>
  <si>
    <t>INSERT INTO tblWMA (WMADistance, WMARoad, WMAWRTime, WMASex, WMAAge, WMAFactor) VALUES (8.047, 1, 1264, 'M', 69, 0.746);</t>
  </si>
  <si>
    <t>INSERT INTO tblWMA (WMADistance, WMARoad, WMAWRTime, WMASex, WMAAge, WMAFactor) VALUES (8.047, 1, 1264, 'M', 70, 0.7384);</t>
  </si>
  <si>
    <t>INSERT INTO tblWMA (WMADistance, WMARoad, WMAWRTime, WMASex, WMAAge, WMAFactor) VALUES (8.047, 1, 1264, 'M', 71, 0.7301);</t>
  </si>
  <si>
    <t>INSERT INTO tblWMA (WMADistance, WMARoad, WMAWRTime, WMASex, WMAAge, WMAFactor) VALUES (8.047, 1, 1264, 'M', 72, 0.7212);</t>
  </si>
  <si>
    <t>INSERT INTO tblWMA (WMADistance, WMARoad, WMAWRTime, WMASex, WMAAge, WMAFactor) VALUES (8.047, 1, 1264, 'M', 73, 0.7116);</t>
  </si>
  <si>
    <t>INSERT INTO tblWMA (WMADistance, WMARoad, WMAWRTime, WMASex, WMAAge, WMAFactor) VALUES (8.047, 1, 1264, 'M', 74, 0.7014);</t>
  </si>
  <si>
    <t>INSERT INTO tblWMA (WMADistance, WMARoad, WMAWRTime, WMASex, WMAAge, WMAFactor) VALUES (8.047, 1, 1264, 'M', 75, 0.6906);</t>
  </si>
  <si>
    <t>INSERT INTO tblWMA (WMADistance, WMARoad, WMAWRTime, WMASex, WMAAge, WMAFactor) VALUES (8.047, 1, 1264, 'M', 76, 0.6791);</t>
  </si>
  <si>
    <t>INSERT INTO tblWMA (WMADistance, WMARoad, WMAWRTime, WMASex, WMAAge, WMAFactor) VALUES (8.047, 1, 1264, 'M', 77, 0.6669);</t>
  </si>
  <si>
    <t>INSERT INTO tblWMA (WMADistance, WMARoad, WMAWRTime, WMASex, WMAAge, WMAFactor) VALUES (8.047, 1, 1264, 'M', 78, 0.6541);</t>
  </si>
  <si>
    <t>INSERT INTO tblWMA (WMADistance, WMARoad, WMAWRTime, WMASex, WMAAge, WMAFactor) VALUES (8.047, 1, 1264, 'M', 79, 0.6407);</t>
  </si>
  <si>
    <t>INSERT INTO tblWMA (WMADistance, WMARoad, WMAWRTime, WMASex, WMAAge, WMAFactor) VALUES (8.047, 1, 1264, 'M', 80, 0.6266);</t>
  </si>
  <si>
    <t>INSERT INTO tblWMA (WMADistance, WMARoad, WMAWRTime, WMASex, WMAAge, WMAFactor) VALUES (8.047, 1, 1264, 'M', 81, 0.6118);</t>
  </si>
  <si>
    <t>INSERT INTO tblWMA (WMADistance, WMARoad, WMAWRTime, WMASex, WMAAge, WMAFactor) VALUES (8.047, 1, 1264, 'M', 82, 0.5965);</t>
  </si>
  <si>
    <t>INSERT INTO tblWMA (WMADistance, WMARoad, WMAWRTime, WMASex, WMAAge, WMAFactor) VALUES (8.047, 1, 1264, 'M', 83, 0.5804);</t>
  </si>
  <si>
    <t>INSERT INTO tblWMA (WMADistance, WMARoad, WMAWRTime, WMASex, WMAAge, WMAFactor) VALUES (8.047, 1, 1264, 'M', 84, 0.5638);</t>
  </si>
  <si>
    <t>INSERT INTO tblWMA (WMADistance, WMARoad, WMAWRTime, WMASex, WMAAge, WMAFactor) VALUES (8.047, 1, 1264, 'M', 85, 0.5464);</t>
  </si>
  <si>
    <t>INSERT INTO tblWMA (WMADistance, WMARoad, WMAWRTime, WMASex, WMAAge, WMAFactor) VALUES (8.047, 1, 1264, 'M', 86, 0.5285);</t>
  </si>
  <si>
    <t>INSERT INTO tblWMA (WMADistance, WMARoad, WMAWRTime, WMASex, WMAAge, WMAFactor) VALUES (8.047, 1, 1264, 'M', 87, 0.5099);</t>
  </si>
  <si>
    <t>INSERT INTO tblWMA (WMADistance, WMARoad, WMAWRTime, WMASex, WMAAge, WMAFactor) VALUES (8.047, 1, 1264, 'M', 88, 0.4906);</t>
  </si>
  <si>
    <t>INSERT INTO tblWMA (WMADistance, WMARoad, WMAWRTime, WMASex, WMAAge, WMAFactor) VALUES (8.047, 1, 1264, 'M', 89, 0.4707);</t>
  </si>
  <si>
    <t>INSERT INTO tblWMA (WMADistance, WMARoad, WMAWRTime, WMASex, WMAAge, WMAFactor) VALUES (8.047, 1, 1264, 'M', 90, 0.4501);</t>
  </si>
  <si>
    <t>INSERT INTO tblWMA (WMADistance, WMARoad, WMAWRTime, WMASex, WMAAge, WMAFactor) VALUES (8.047, 1, 1264, 'M', 91, 0.4289);</t>
  </si>
  <si>
    <t>INSERT INTO tblWMA (WMADistance, WMARoad, WMAWRTime, WMASex, WMAAge, WMAFactor) VALUES (8.047, 1, 1264, 'M', 92, 0.4071);</t>
  </si>
  <si>
    <t>INSERT INTO tblWMA (WMADistance, WMARoad, WMAWRTime, WMASex, WMAAge, WMAFactor) VALUES (8.047, 1, 1264, 'M', 93, 0.3846);</t>
  </si>
  <si>
    <t>INSERT INTO tblWMA (WMADistance, WMARoad, WMAWRTime, WMASex, WMAAge, WMAFactor) VALUES (8.047, 1, 1264, 'M', 94, 0.3615);</t>
  </si>
  <si>
    <t>INSERT INTO tblWMA (WMADistance, WMARoad, WMAWRTime, WMASex, WMAAge, WMAFactor) VALUES (8.047, 1, 1264, 'M', 95, 0.3377);</t>
  </si>
  <si>
    <t>INSERT INTO tblWMA (WMADistance, WMARoad, WMAWRTime, WMASex, WMAAge, WMAFactor) VALUES (8.047, 1, 1264, 'M', 96, 0.3133);</t>
  </si>
  <si>
    <t>INSERT INTO tblWMA (WMADistance, WMARoad, WMAWRTime, WMASex, WMAAge, WMAFactor) VALUES (8.047, 1, 1264, 'M', 97, 0.2882);</t>
  </si>
  <si>
    <t>INSERT INTO tblWMA (WMADistance, WMARoad, WMAWRTime, WMASex, WMAAge, WMAFactor) VALUES (8.047, 1, 1264, 'M', 98, 0.2625);</t>
  </si>
  <si>
    <t>INSERT INTO tblWMA (WMADistance, WMARoad, WMAWRTime, WMASex, WMAAge, WMAFactor) VALUES (8.047, 1, 1264, 'M', 99, 0.2361);</t>
  </si>
  <si>
    <t>INSERT INTO tblWMA (WMADistance, WMARoad, WMAWRTime, WMASex, WMAAge, WMAFactor) VALUES (8.047, 1, 1264, 'M', 100, 0.2091);</t>
  </si>
  <si>
    <t>INSERT INTO tblWMA (WMADistance, WMARoad, WMAWRTime, WMASex, WMAAge, WMAFactor) VALUES (10, 1, 1584, 'M', 5, 0.608);</t>
  </si>
  <si>
    <t>INSERT INTO tblWMA (WMADistance, WMARoad, WMAWRTime, WMASex, WMAAge, WMAFactor) VALUES (10, 1, 1584, 'M', 6, 0.662);</t>
  </si>
  <si>
    <t>INSERT INTO tblWMA (WMADistance, WMARoad, WMAWRTime, WMASex, WMAAge, WMAFactor) VALUES (10, 1, 1584, 'M', 7, 0.712);</t>
  </si>
  <si>
    <t>INSERT INTO tblWMA (WMADistance, WMARoad, WMAWRTime, WMASex, WMAAge, WMAFactor) VALUES (10, 1, 1584, 'M', 8, 0.758);</t>
  </si>
  <si>
    <t>INSERT INTO tblWMA (WMADistance, WMARoad, WMAWRTime, WMASex, WMAAge, WMAFactor) VALUES (10, 1, 1584, 'M', 9, 0.8);</t>
  </si>
  <si>
    <t>INSERT INTO tblWMA (WMADistance, WMARoad, WMAWRTime, WMASex, WMAAge, WMAFactor) VALUES (10, 1, 1584, 'M', 10, 0.838);</t>
  </si>
  <si>
    <t>INSERT INTO tblWMA (WMADistance, WMARoad, WMAWRTime, WMASex, WMAAge, WMAFactor) VALUES (10, 1, 1584, 'M', 11, 0.872);</t>
  </si>
  <si>
    <t>INSERT INTO tblWMA (WMADistance, WMARoad, WMAWRTime, WMASex, WMAAge, WMAFactor) VALUES (10, 1, 1584, 'M', 12, 0.902);</t>
  </si>
  <si>
    <t>INSERT INTO tblWMA (WMADistance, WMARoad, WMAWRTime, WMASex, WMAAge, WMAFactor) VALUES (10, 1, 1584, 'M', 13, 0.928);</t>
  </si>
  <si>
    <t>INSERT INTO tblWMA (WMADistance, WMARoad, WMAWRTime, WMASex, WMAAge, WMAFactor) VALUES (10, 1, 1584, 'M', 14, 0.95);</t>
  </si>
  <si>
    <t>INSERT INTO tblWMA (WMADistance, WMARoad, WMAWRTime, WMASex, WMAAge, WMAFactor) VALUES (10, 1, 1584, 'M', 15, 0.968);</t>
  </si>
  <si>
    <t>INSERT INTO tblWMA (WMADistance, WMARoad, WMAWRTime, WMASex, WMAAge, WMAFactor) VALUES (10, 1, 1584, 'M', 16, 0.982);</t>
  </si>
  <si>
    <t>INSERT INTO tblWMA (WMADistance, WMARoad, WMAWRTime, WMASex, WMAAge, WMAFactor) VALUES (10, 1, 1584, 'M', 17, 0.992);</t>
  </si>
  <si>
    <t>INSERT INTO tblWMA (WMADistance, WMARoad, WMAWRTime, WMASex, WMAAge, WMAFactor) VALUES (10, 1, 1584, 'M', 18, 0.998);</t>
  </si>
  <si>
    <t>INSERT INTO tblWMA (WMADistance, WMARoad, WMAWRTime, WMASex, WMAAge, WMAFactor) VALUES (10, 1, 1584, 'M', 19, 1);</t>
  </si>
  <si>
    <t>INSERT INTO tblWMA (WMADistance, WMARoad, WMAWRTime, WMASex, WMAAge, WMAFactor) VALUES (10, 1, 1584, 'M', 20, 1);</t>
  </si>
  <si>
    <t>INSERT INTO tblWMA (WMADistance, WMARoad, WMAWRTime, WMASex, WMAAge, WMAFactor) VALUES (10, 1, 1584, 'M', 21, 1);</t>
  </si>
  <si>
    <t>INSERT INTO tblWMA (WMADistance, WMARoad, WMAWRTime, WMASex, WMAAge, WMAFactor) VALUES (10, 1, 1584, 'M', 22, 1);</t>
  </si>
  <si>
    <t>INSERT INTO tblWMA (WMADistance, WMARoad, WMAWRTime, WMASex, WMAAge, WMAFactor) VALUES (10, 1, 1584, 'M', 23, 1);</t>
  </si>
  <si>
    <t>INSERT INTO tblWMA (WMADistance, WMARoad, WMAWRTime, WMASex, WMAAge, WMAFactor) VALUES (10, 1, 1584, 'M', 24, 1);</t>
  </si>
  <si>
    <t>INSERT INTO tblWMA (WMADistance, WMARoad, WMAWRTime, WMASex, WMAAge, WMAFactor) VALUES (10, 1, 1584, 'M', 25, 1);</t>
  </si>
  <si>
    <t>INSERT INTO tblWMA (WMADistance, WMARoad, WMAWRTime, WMASex, WMAAge, WMAFactor) VALUES (10, 1, 1584, 'M', 26, 1);</t>
  </si>
  <si>
    <t>INSERT INTO tblWMA (WMADistance, WMARoad, WMAWRTime, WMASex, WMAAge, WMAFactor) VALUES (10, 1, 1584, 'M', 27, 1);</t>
  </si>
  <si>
    <t>INSERT INTO tblWMA (WMADistance, WMARoad, WMAWRTime, WMASex, WMAAge, WMAFactor) VALUES (10, 1, 1584, 'M', 28, 1);</t>
  </si>
  <si>
    <t>INSERT INTO tblWMA (WMADistance, WMARoad, WMAWRTime, WMASex, WMAAge, WMAFactor) VALUES (10, 1, 1584, 'M', 29, 1);</t>
  </si>
  <si>
    <t>INSERT INTO tblWMA (WMADistance, WMARoad, WMAWRTime, WMASex, WMAAge, WMAFactor) VALUES (10, 1, 1584, 'M', 30, 1);</t>
  </si>
  <si>
    <t>INSERT INTO tblWMA (WMADistance, WMARoad, WMAWRTime, WMASex, WMAAge, WMAFactor) VALUES (10, 1, 1584, 'M', 31, 0.9996);</t>
  </si>
  <si>
    <t>INSERT INTO tblWMA (WMADistance, WMARoad, WMAWRTime, WMASex, WMAAge, WMAFactor) VALUES (10, 1, 1584, 'M', 32, 0.9985);</t>
  </si>
  <si>
    <t>INSERT INTO tblWMA (WMADistance, WMARoad, WMAWRTime, WMASex, WMAAge, WMAFactor) VALUES (10, 1, 1584, 'M', 33, 0.9967);</t>
  </si>
  <si>
    <t>INSERT INTO tblWMA (WMADistance, WMARoad, WMAWRTime, WMASex, WMAAge, WMAFactor) VALUES (10, 1, 1584, 'M', 34, 0.9942);</t>
  </si>
  <si>
    <t>INSERT INTO tblWMA (WMADistance, WMARoad, WMAWRTime, WMASex, WMAAge, WMAFactor) VALUES (10, 1, 1584, 'M', 35, 0.9909);</t>
  </si>
  <si>
    <t>INSERT INTO tblWMA (WMADistance, WMARoad, WMAWRTime, WMASex, WMAAge, WMAFactor) VALUES (10, 1, 1584, 'M', 36, 0.9869);</t>
  </si>
  <si>
    <t>INSERT INTO tblWMA (WMADistance, WMARoad, WMAWRTime, WMASex, WMAAge, WMAFactor) VALUES (10, 1, 1584, 'M', 37, 0.9822);</t>
  </si>
  <si>
    <t>INSERT INTO tblWMA (WMADistance, WMARoad, WMAWRTime, WMASex, WMAAge, WMAFactor) VALUES (10, 1, 1584, 'M', 38, 0.9767);</t>
  </si>
  <si>
    <t>INSERT INTO tblWMA (WMADistance, WMARoad, WMAWRTime, WMASex, WMAAge, WMAFactor) VALUES (10, 1, 1584, 'M', 39, 0.9705);</t>
  </si>
  <si>
    <t>INSERT INTO tblWMA (WMADistance, WMARoad, WMAWRTime, WMASex, WMAAge, WMAFactor) VALUES (10, 1, 1584, 'M', 40, 0.9636);</t>
  </si>
  <si>
    <t>INSERT INTO tblWMA (WMADistance, WMARoad, WMAWRTime, WMASex, WMAAge, WMAFactor) VALUES (10, 1, 1584, 'M', 41, 0.9561);</t>
  </si>
  <si>
    <t>INSERT INTO tblWMA (WMADistance, WMARoad, WMAWRTime, WMASex, WMAAge, WMAFactor) VALUES (10, 1, 1584, 'M', 42, 0.9486);</t>
  </si>
  <si>
    <t>INSERT INTO tblWMA (WMADistance, WMARoad, WMAWRTime, WMASex, WMAAge, WMAFactor) VALUES (10, 1, 1584, 'M', 43, 0.9411);</t>
  </si>
  <si>
    <t>INSERT INTO tblWMA (WMADistance, WMARoad, WMAWRTime, WMASex, WMAAge, WMAFactor) VALUES (10, 1, 1584, 'M', 44, 0.9336);</t>
  </si>
  <si>
    <t>INSERT INTO tblWMA (WMADistance, WMARoad, WMAWRTime, WMASex, WMAAge, WMAFactor) VALUES (10, 1, 1584, 'M', 45, 0.9261);</t>
  </si>
  <si>
    <t>INSERT INTO tblWMA (WMADistance, WMARoad, WMAWRTime, WMASex, WMAAge, WMAFactor) VALUES (10, 1, 1584, 'M', 46, 0.9186);</t>
  </si>
  <si>
    <t>INSERT INTO tblWMA (WMADistance, WMARoad, WMAWRTime, WMASex, WMAAge, WMAFactor) VALUES (10, 1, 1584, 'M', 47, 0.9111);</t>
  </si>
  <si>
    <t>INSERT INTO tblWMA (WMADistance, WMARoad, WMAWRTime, WMASex, WMAAge, WMAFactor) VALUES (10, 1, 1584, 'M', 48, 0.9036);</t>
  </si>
  <si>
    <t>INSERT INTO tblWMA (WMADistance, WMARoad, WMAWRTime, WMASex, WMAAge, WMAFactor) VALUES (10, 1, 1584, 'M', 49, 0.8961);</t>
  </si>
  <si>
    <t>INSERT INTO tblWMA (WMADistance, WMARoad, WMAWRTime, WMASex, WMAAge, WMAFactor) VALUES (10, 1, 1584, 'M', 50, 0.8886);</t>
  </si>
  <si>
    <t>INSERT INTO tblWMA (WMADistance, WMARoad, WMAWRTime, WMASex, WMAAge, WMAFactor) VALUES (10, 1, 1584, 'M', 51, 0.8811);</t>
  </si>
  <si>
    <t>INSERT INTO tblWMA (WMADistance, WMARoad, WMAWRTime, WMASex, WMAAge, WMAFactor) VALUES (10, 1, 1584, 'M', 52, 0.8736);</t>
  </si>
  <si>
    <t>INSERT INTO tblWMA (WMADistance, WMARoad, WMAWRTime, WMASex, WMAAge, WMAFactor) VALUES (10, 1, 1584, 'M', 53, 0.8661);</t>
  </si>
  <si>
    <t>INSERT INTO tblWMA (WMADistance, WMARoad, WMAWRTime, WMASex, WMAAge, WMAFactor) VALUES (10, 1, 1584, 'M', 54, 0.8586);</t>
  </si>
  <si>
    <t>INSERT INTO tblWMA (WMADistance, WMARoad, WMAWRTime, WMASex, WMAAge, WMAFactor) VALUES (10, 1, 1584, 'M', 55, 0.8511);</t>
  </si>
  <si>
    <t>INSERT INTO tblWMA (WMADistance, WMARoad, WMAWRTime, WMASex, WMAAge, WMAFactor) VALUES (10, 1, 1584, 'M', 56, 0.8436);</t>
  </si>
  <si>
    <t>INSERT INTO tblWMA (WMADistance, WMARoad, WMAWRTime, WMASex, WMAAge, WMAFactor) VALUES (10, 1, 1584, 'M', 57, 0.8361);</t>
  </si>
  <si>
    <t>INSERT INTO tblWMA (WMADistance, WMARoad, WMAWRTime, WMASex, WMAAge, WMAFactor) VALUES (10, 1, 1584, 'M', 58, 0.8286);</t>
  </si>
  <si>
    <t>INSERT INTO tblWMA (WMADistance, WMARoad, WMAWRTime, WMASex, WMAAge, WMAFactor) VALUES (10, 1, 1584, 'M', 59, 0.8211);</t>
  </si>
  <si>
    <t>INSERT INTO tblWMA (WMADistance, WMARoad, WMAWRTime, WMASex, WMAAge, WMAFactor) VALUES (10, 1, 1584, 'M', 60, 0.8136);</t>
  </si>
  <si>
    <t>INSERT INTO tblWMA (WMADistance, WMARoad, WMAWRTime, WMASex, WMAAge, WMAFactor) VALUES (10, 1, 1584, 'M', 61, 0.8061);</t>
  </si>
  <si>
    <t>INSERT INTO tblWMA (WMADistance, WMARoad, WMAWRTime, WMASex, WMAAge, WMAFactor) VALUES (10, 1, 1584, 'M', 62, 0.7986);</t>
  </si>
  <si>
    <t>INSERT INTO tblWMA (WMADistance, WMARoad, WMAWRTime, WMASex, WMAAge, WMAFactor) VALUES (10, 1, 1584, 'M', 63, 0.7911);</t>
  </si>
  <si>
    <t>INSERT INTO tblWMA (WMADistance, WMARoad, WMAWRTime, WMASex, WMAAge, WMAFactor) VALUES (10, 1, 1584, 'M', 64, 0.7836);</t>
  </si>
  <si>
    <t>INSERT INTO tblWMA (WMADistance, WMARoad, WMAWRTime, WMASex, WMAAge, WMAFactor) VALUES (10, 1, 1584, 'M', 65, 0.7761);</t>
  </si>
  <si>
    <t>INSERT INTO tblWMA (WMADistance, WMARoad, WMAWRTime, WMASex, WMAAge, WMAFactor) VALUES (10, 1, 1584, 'M', 66, 0.7686);</t>
  </si>
  <si>
    <t>INSERT INTO tblWMA (WMADistance, WMARoad, WMAWRTime, WMASex, WMAAge, WMAFactor) VALUES (10, 1, 1584, 'M', 67, 0.7611);</t>
  </si>
  <si>
    <t>INSERT INTO tblWMA (WMADistance, WMARoad, WMAWRTime, WMASex, WMAAge, WMAFactor) VALUES (10, 1, 1584, 'M', 68, 0.7536);</t>
  </si>
  <si>
    <t>INSERT INTO tblWMA (WMADistance, WMARoad, WMAWRTime, WMASex, WMAAge, WMAFactor) VALUES (10, 1, 1584, 'M', 69, 0.7461);</t>
  </si>
  <si>
    <t>INSERT INTO tblWMA (WMADistance, WMARoad, WMAWRTime, WMASex, WMAAge, WMAFactor) VALUES (10, 1, 1584, 'M', 70, 0.7386);</t>
  </si>
  <si>
    <t>INSERT INTO tblWMA (WMADistance, WMARoad, WMAWRTime, WMASex, WMAAge, WMAFactor) VALUES (10, 1, 1584, 'M', 71, 0.7308);</t>
  </si>
  <si>
    <t>INSERT INTO tblWMA (WMADistance, WMARoad, WMAWRTime, WMASex, WMAAge, WMAFactor) VALUES (10, 1, 1584, 'M', 72, 0.7223);</t>
  </si>
  <si>
    <t>INSERT INTO tblWMA (WMADistance, WMARoad, WMAWRTime, WMASex, WMAAge, WMAFactor) VALUES (10, 1, 1584, 'M', 73, 0.7131);</t>
  </si>
  <si>
    <t>INSERT INTO tblWMA (WMADistance, WMARoad, WMAWRTime, WMASex, WMAAge, WMAFactor) VALUES (10, 1, 1584, 'M', 74, 0.7033);</t>
  </si>
  <si>
    <t>INSERT INTO tblWMA (WMADistance, WMARoad, WMAWRTime, WMASex, WMAAge, WMAFactor) VALUES (10, 1, 1584, 'M', 75, 0.6928);</t>
  </si>
  <si>
    <t>INSERT INTO tblWMA (WMADistance, WMARoad, WMAWRTime, WMASex, WMAAge, WMAFactor) VALUES (10, 1, 1584, 'M', 76, 0.6816);</t>
  </si>
  <si>
    <t>INSERT INTO tblWMA (WMADistance, WMARoad, WMAWRTime, WMASex, WMAAge, WMAFactor) VALUES (10, 1, 1584, 'M', 77, 0.6697);</t>
  </si>
  <si>
    <t>INSERT INTO tblWMA (WMADistance, WMARoad, WMAWRTime, WMASex, WMAAge, WMAFactor) VALUES (10, 1, 1584, 'M', 78, 0.6572);</t>
  </si>
  <si>
    <t>INSERT INTO tblWMA (WMADistance, WMARoad, WMAWRTime, WMASex, WMAAge, WMAFactor) VALUES (10, 1, 1584, 'M', 79, 0.644);</t>
  </si>
  <si>
    <t>INSERT INTO tblWMA (WMADistance, WMARoad, WMAWRTime, WMASex, WMAAge, WMAFactor) VALUES (10, 1, 1584, 'M', 80, 0.6301);</t>
  </si>
  <si>
    <t>INSERT INTO tblWMA (WMADistance, WMARoad, WMAWRTime, WMASex, WMAAge, WMAFactor) VALUES (10, 1, 1584, 'M', 81, 0.6156);</t>
  </si>
  <si>
    <t>INSERT INTO tblWMA (WMADistance, WMARoad, WMAWRTime, WMASex, WMAAge, WMAFactor) VALUES (10, 1, 1584, 'M', 82, 0.6004);</t>
  </si>
  <si>
    <t>INSERT INTO tblWMA (WMADistance, WMARoad, WMAWRTime, WMASex, WMAAge, WMAFactor) VALUES (10, 1, 1584, 'M', 83, 0.5845);</t>
  </si>
  <si>
    <t>INSERT INTO tblWMA (WMADistance, WMARoad, WMAWRTime, WMASex, WMAAge, WMAFactor) VALUES (10, 1, 1584, 'M', 84, 0.568);</t>
  </si>
  <si>
    <t>INSERT INTO tblWMA (WMADistance, WMARoad, WMAWRTime, WMASex, WMAAge, WMAFactor) VALUES (10, 1, 1584, 'M', 85, 0.5508);</t>
  </si>
  <si>
    <t>INSERT INTO tblWMA (WMADistance, WMARoad, WMAWRTime, WMASex, WMAAge, WMAFactor) VALUES (10, 1, 1584, 'M', 86, 0.5329);</t>
  </si>
  <si>
    <t>INSERT INTO tblWMA (WMADistance, WMARoad, WMAWRTime, WMASex, WMAAge, WMAFactor) VALUES (10, 1, 1584, 'M', 87, 0.5143);</t>
  </si>
  <si>
    <t>INSERT INTO tblWMA (WMADistance, WMARoad, WMAWRTime, WMASex, WMAAge, WMAFactor) VALUES (10, 1, 1584, 'M', 88, 0.4951);</t>
  </si>
  <si>
    <t>INSERT INTO tblWMA (WMADistance, WMARoad, WMAWRTime, WMASex, WMAAge, WMAFactor) VALUES (10, 1, 1584, 'M', 89, 0.4752);</t>
  </si>
  <si>
    <t>INSERT INTO tblWMA (WMADistance, WMARoad, WMAWRTime, WMASex, WMAAge, WMAFactor) VALUES (10, 1, 1584, 'M', 90, 0.4546);</t>
  </si>
  <si>
    <t>INSERT INTO tblWMA (WMADistance, WMARoad, WMAWRTime, WMASex, WMAAge, WMAFactor) VALUES (10, 1, 1584, 'M', 91, 0.4334);</t>
  </si>
  <si>
    <t>INSERT INTO tblWMA (WMADistance, WMARoad, WMAWRTime, WMASex, WMAAge, WMAFactor) VALUES (10, 1, 1584, 'M', 92, 0.4115);</t>
  </si>
  <si>
    <t>INSERT INTO tblWMA (WMADistance, WMARoad, WMAWRTime, WMASex, WMAAge, WMAFactor) VALUES (10, 1, 1584, 'M', 93, 0.3889);</t>
  </si>
  <si>
    <t>INSERT INTO tblWMA (WMADistance, WMARoad, WMAWRTime, WMASex, WMAAge, WMAFactor) VALUES (10, 1, 1584, 'M', 94, 0.3657);</t>
  </si>
  <si>
    <t>INSERT INTO tblWMA (WMADistance, WMARoad, WMAWRTime, WMASex, WMAAge, WMAFactor) VALUES (10, 1, 1584, 'M', 95, 0.3418);</t>
  </si>
  <si>
    <t>INSERT INTO tblWMA (WMADistance, WMARoad, WMAWRTime, WMASex, WMAAge, WMAFactor) VALUES (10, 1, 1584, 'M', 96, 0.3172);</t>
  </si>
  <si>
    <t>INSERT INTO tblWMA (WMADistance, WMARoad, WMAWRTime, WMASex, WMAAge, WMAFactor) VALUES (10, 1, 1584, 'M', 97, 0.2919);</t>
  </si>
  <si>
    <t>INSERT INTO tblWMA (WMADistance, WMARoad, WMAWRTime, WMASex, WMAAge, WMAFactor) VALUES (10, 1, 1584, 'M', 98, 0.266);</t>
  </si>
  <si>
    <t>INSERT INTO tblWMA (WMADistance, WMARoad, WMAWRTime, WMASex, WMAAge, WMAFactor) VALUES (10, 1, 1584, 'M', 99, 0.2394);</t>
  </si>
  <si>
    <t>INSERT INTO tblWMA (WMADistance, WMARoad, WMAWRTime, WMASex, WMAAge, WMAFactor) VALUES (10, 1, 1584, 'M', 100, 0.2121);</t>
  </si>
  <si>
    <t>INSERT INTO tblWMA (WMADistance, WMARoad, WMAWRTime, WMASex, WMAAge, WMAFactor) VALUES (12, 1, 1923, 'M', 5, 0.6056);</t>
  </si>
  <si>
    <t>INSERT INTO tblWMA (WMADistance, WMARoad, WMAWRTime, WMASex, WMAAge, WMAFactor) VALUES (12, 1, 1923, 'M', 6, 0.6596);</t>
  </si>
  <si>
    <t>INSERT INTO tblWMA (WMADistance, WMARoad, WMAWRTime, WMASex, WMAAge, WMAFactor) VALUES (12, 1, 1923, 'M', 7, 0.7096);</t>
  </si>
  <si>
    <t>INSERT INTO tblWMA (WMADistance, WMARoad, WMAWRTime, WMASex, WMAAge, WMAFactor) VALUES (12, 1, 1923, 'M', 8, 0.7556);</t>
  </si>
  <si>
    <t>INSERT INTO tblWMA (WMADistance, WMARoad, WMAWRTime, WMASex, WMAAge, WMAFactor) VALUES (12, 1, 1923, 'M', 9, 0.7976);</t>
  </si>
  <si>
    <t>INSERT INTO tblWMA (WMADistance, WMARoad, WMAWRTime, WMASex, WMAAge, WMAFactor) VALUES (12, 1, 1923, 'M', 10, 0.8356);</t>
  </si>
  <si>
    <t>INSERT INTO tblWMA (WMADistance, WMARoad, WMAWRTime, WMASex, WMAAge, WMAFactor) VALUES (12, 1, 1923, 'M', 11, 0.8696);</t>
  </si>
  <si>
    <t>INSERT INTO tblWMA (WMADistance, WMARoad, WMAWRTime, WMASex, WMAAge, WMAFactor) VALUES (12, 1, 1923, 'M', 12, 0.8996);</t>
  </si>
  <si>
    <t>INSERT INTO tblWMA (WMADistance, WMARoad, WMAWRTime, WMASex, WMAAge, WMAFactor) VALUES (12, 1, 1923, 'M', 13, 0.9256);</t>
  </si>
  <si>
    <t>INSERT INTO tblWMA (WMADistance, WMARoad, WMAWRTime, WMASex, WMAAge, WMAFactor) VALUES (12, 1, 1923, 'M', 14, 0.9476);</t>
  </si>
  <si>
    <t>INSERT INTO tblWMA (WMADistance, WMARoad, WMAWRTime, WMASex, WMAAge, WMAFactor) VALUES (12, 1, 1923, 'M', 15, 0.9656);</t>
  </si>
  <si>
    <t>INSERT INTO tblWMA (WMADistance, WMARoad, WMAWRTime, WMASex, WMAAge, WMAFactor) VALUES (12, 1, 1923, 'M', 16, 0.9796);</t>
  </si>
  <si>
    <t>INSERT INTO tblWMA (WMADistance, WMARoad, WMAWRTime, WMASex, WMAAge, WMAFactor) VALUES (12, 1, 1923, 'M', 17, 0.9916);</t>
  </si>
  <si>
    <t>INSERT INTO tblWMA (WMADistance, WMARoad, WMAWRTime, WMASex, WMAAge, WMAFactor) VALUES (12, 1, 1923, 'M', 18, 0.9993);</t>
  </si>
  <si>
    <t>INSERT INTO tblWMA (WMADistance, WMARoad, WMAWRTime, WMASex, WMAAge, WMAFactor) VALUES (12, 1, 1923, 'M', 19, 1);</t>
  </si>
  <si>
    <t>INSERT INTO tblWMA (WMADistance, WMARoad, WMAWRTime, WMASex, WMAAge, WMAFactor) VALUES (12, 1, 1923, 'M', 20, 1);</t>
  </si>
  <si>
    <t>INSERT INTO tblWMA (WMADistance, WMARoad, WMAWRTime, WMASex, WMAAge, WMAFactor) VALUES (12, 1, 1923, 'M', 21, 1);</t>
  </si>
  <si>
    <t>INSERT INTO tblWMA (WMADistance, WMARoad, WMAWRTime, WMASex, WMAAge, WMAFactor) VALUES (12, 1, 1923, 'M', 22, 1);</t>
  </si>
  <si>
    <t>INSERT INTO tblWMA (WMADistance, WMARoad, WMAWRTime, WMASex, WMAAge, WMAFactor) VALUES (12, 1, 1923, 'M', 23, 1);</t>
  </si>
  <si>
    <t>INSERT INTO tblWMA (WMADistance, WMARoad, WMAWRTime, WMASex, WMAAge, WMAFactor) VALUES (12, 1, 1923, 'M', 24, 1);</t>
  </si>
  <si>
    <t>INSERT INTO tblWMA (WMADistance, WMARoad, WMAWRTime, WMASex, WMAAge, WMAFactor) VALUES (12, 1, 1923, 'M', 25, 1);</t>
  </si>
  <si>
    <t>INSERT INTO tblWMA (WMADistance, WMARoad, WMAWRTime, WMASex, WMAAge, WMAFactor) VALUES (12, 1, 1923, 'M', 26, 1);</t>
  </si>
  <si>
    <t>INSERT INTO tblWMA (WMADistance, WMARoad, WMAWRTime, WMASex, WMAAge, WMAFactor) VALUES (12, 1, 1923, 'M', 27, 1);</t>
  </si>
  <si>
    <t>INSERT INTO tblWMA (WMADistance, WMARoad, WMAWRTime, WMASex, WMAAge, WMAFactor) VALUES (12, 1, 1923, 'M', 28, 1);</t>
  </si>
  <si>
    <t>INSERT INTO tblWMA (WMADistance, WMARoad, WMAWRTime, WMASex, WMAAge, WMAFactor) VALUES (12, 1, 1923, 'M', 29, 1);</t>
  </si>
  <si>
    <t>INSERT INTO tblWMA (WMADistance, WMARoad, WMAWRTime, WMASex, WMAAge, WMAFactor) VALUES (12, 1, 1923, 'M', 30, 1);</t>
  </si>
  <si>
    <t>INSERT INTO tblWMA (WMADistance, WMARoad, WMAWRTime, WMASex, WMAAge, WMAFactor) VALUES (12, 1, 1923, 'M', 31, 0.9998);</t>
  </si>
  <si>
    <t>INSERT INTO tblWMA (WMADistance, WMARoad, WMAWRTime, WMASex, WMAAge, WMAFactor) VALUES (12, 1, 1923, 'M', 32, 0.9989);</t>
  </si>
  <si>
    <t>INSERT INTO tblWMA (WMADistance, WMARoad, WMAWRTime, WMASex, WMAAge, WMAFactor) VALUES (12, 1, 1923, 'M', 33, 0.9973);</t>
  </si>
  <si>
    <t>INSERT INTO tblWMA (WMADistance, WMARoad, WMAWRTime, WMASex, WMAAge, WMAFactor) VALUES (12, 1, 1923, 'M', 34, 0.9949);</t>
  </si>
  <si>
    <t>INSERT INTO tblWMA (WMADistance, WMARoad, WMAWRTime, WMASex, WMAAge, WMAFactor) VALUES (12, 1, 1923, 'M', 35, 0.9918);</t>
  </si>
  <si>
    <t>INSERT INTO tblWMA (WMADistance, WMARoad, WMAWRTime, WMASex, WMAAge, WMAFactor) VALUES (12, 1, 1923, 'M', 36, 0.988);</t>
  </si>
  <si>
    <t>INSERT INTO tblWMA (WMADistance, WMARoad, WMAWRTime, WMASex, WMAAge, WMAFactor) VALUES (12, 1, 1923, 'M', 37, 0.9834);</t>
  </si>
  <si>
    <t>INSERT INTO tblWMA (WMADistance, WMARoad, WMAWRTime, WMASex, WMAAge, WMAFactor) VALUES (12, 1, 1923, 'M', 38, 0.978);</t>
  </si>
  <si>
    <t>INSERT INTO tblWMA (WMADistance, WMARoad, WMAWRTime, WMASex, WMAAge, WMAFactor) VALUES (12, 1, 1923, 'M', 39, 0.9719);</t>
  </si>
  <si>
    <t>INSERT INTO tblWMA (WMADistance, WMARoad, WMAWRTime, WMASex, WMAAge, WMAFactor) VALUES (12, 1, 1923, 'M', 40, 0.9651);</t>
  </si>
  <si>
    <t>INSERT INTO tblWMA (WMADistance, WMARoad, WMAWRTime, WMASex, WMAAge, WMAFactor) VALUES (12, 1, 1923, 'M', 41, 0.9576);</t>
  </si>
  <si>
    <t>INSERT INTO tblWMA (WMADistance, WMARoad, WMAWRTime, WMASex, WMAAge, WMAFactor) VALUES (12, 1, 1923, 'M', 42, 0.95);</t>
  </si>
  <si>
    <t>INSERT INTO tblWMA (WMADistance, WMARoad, WMAWRTime, WMASex, WMAAge, WMAFactor) VALUES (12, 1, 1923, 'M', 43, 0.9424);</t>
  </si>
  <si>
    <t>INSERT INTO tblWMA (WMADistance, WMARoad, WMAWRTime, WMASex, WMAAge, WMAFactor) VALUES (12, 1, 1923, 'M', 44, 0.9349);</t>
  </si>
  <si>
    <t>INSERT INTO tblWMA (WMADistance, WMARoad, WMAWRTime, WMASex, WMAAge, WMAFactor) VALUES (12, 1, 1923, 'M', 45, 0.9273);</t>
  </si>
  <si>
    <t>INSERT INTO tblWMA (WMADistance, WMARoad, WMAWRTime, WMASex, WMAAge, WMAFactor) VALUES (12, 1, 1923, 'M', 46, 0.9197);</t>
  </si>
  <si>
    <t>INSERT INTO tblWMA (WMADistance, WMARoad, WMAWRTime, WMASex, WMAAge, WMAFactor) VALUES (12, 1, 1923, 'M', 47, 0.9122);</t>
  </si>
  <si>
    <t>INSERT INTO tblWMA (WMADistance, WMARoad, WMAWRTime, WMASex, WMAAge, WMAFactor) VALUES (12, 1, 1923, 'M', 48, 0.9046);</t>
  </si>
  <si>
    <t>INSERT INTO tblWMA (WMADistance, WMARoad, WMAWRTime, WMASex, WMAAge, WMAFactor) VALUES (12, 1, 1923, 'M', 49, 0.897);</t>
  </si>
  <si>
    <t>INSERT INTO tblWMA (WMADistance, WMARoad, WMAWRTime, WMASex, WMAAge, WMAFactor) VALUES (12, 1, 1923, 'M', 50, 0.8895);</t>
  </si>
  <si>
    <t>INSERT INTO tblWMA (WMADistance, WMARoad, WMAWRTime, WMASex, WMAAge, WMAFactor) VALUES (12, 1, 1923, 'M', 51, 0.8819);</t>
  </si>
  <si>
    <t>INSERT INTO tblWMA (WMADistance, WMARoad, WMAWRTime, WMASex, WMAAge, WMAFactor) VALUES (12, 1, 1923, 'M', 52, 0.8743);</t>
  </si>
  <si>
    <t>INSERT INTO tblWMA (WMADistance, WMARoad, WMAWRTime, WMASex, WMAAge, WMAFactor) VALUES (12, 1, 1923, 'M', 53, 0.8668);</t>
  </si>
  <si>
    <t>INSERT INTO tblWMA (WMADistance, WMARoad, WMAWRTime, WMASex, WMAAge, WMAFactor) VALUES (12, 1, 1923, 'M', 54, 0.8592);</t>
  </si>
  <si>
    <t>INSERT INTO tblWMA (WMADistance, WMARoad, WMAWRTime, WMASex, WMAAge, WMAFactor) VALUES (12, 1, 1923, 'M', 55, 0.8516);</t>
  </si>
  <si>
    <t>INSERT INTO tblWMA (WMADistance, WMARoad, WMAWRTime, WMASex, WMAAge, WMAFactor) VALUES (12, 1, 1923, 'M', 56, 0.844);</t>
  </si>
  <si>
    <t>INSERT INTO tblWMA (WMADistance, WMARoad, WMAWRTime, WMASex, WMAAge, WMAFactor) VALUES (12, 1, 1923, 'M', 57, 0.8365);</t>
  </si>
  <si>
    <t>INSERT INTO tblWMA (WMADistance, WMARoad, WMAWRTime, WMASex, WMAAge, WMAFactor) VALUES (12, 1, 1923, 'M', 58, 0.8289);</t>
  </si>
  <si>
    <t>INSERT INTO tblWMA (WMADistance, WMARoad, WMAWRTime, WMASex, WMAAge, WMAFactor) VALUES (12, 1, 1923, 'M', 59, 0.8213);</t>
  </si>
  <si>
    <t>INSERT INTO tblWMA (WMADistance, WMARoad, WMAWRTime, WMASex, WMAAge, WMAFactor) VALUES (12, 1, 1923, 'M', 60, 0.8138);</t>
  </si>
  <si>
    <t>INSERT INTO tblWMA (WMADistance, WMARoad, WMAWRTime, WMASex, WMAAge, WMAFactor) VALUES (12, 1, 1923, 'M', 61, 0.8062);</t>
  </si>
  <si>
    <t>INSERT INTO tblWMA (WMADistance, WMARoad, WMAWRTime, WMASex, WMAAge, WMAFactor) VALUES (12, 1, 1923, 'M', 62, 0.7986);</t>
  </si>
  <si>
    <t>INSERT INTO tblWMA (WMADistance, WMARoad, WMAWRTime, WMASex, WMAAge, WMAFactor) VALUES (12, 1, 1923, 'M', 63, 0.7911);</t>
  </si>
  <si>
    <t>INSERT INTO tblWMA (WMADistance, WMARoad, WMAWRTime, WMASex, WMAAge, WMAFactor) VALUES (12, 1, 1923, 'M', 64, 0.7835);</t>
  </si>
  <si>
    <t>INSERT INTO tblWMA (WMADistance, WMARoad, WMAWRTime, WMASex, WMAAge, WMAFactor) VALUES (12, 1, 1923, 'M', 65, 0.7759);</t>
  </si>
  <si>
    <t>INSERT INTO tblWMA (WMADistance, WMARoad, WMAWRTime, WMASex, WMAAge, WMAFactor) VALUES (12, 1, 1923, 'M', 66, 0.7684);</t>
  </si>
  <si>
    <t>INSERT INTO tblWMA (WMADistance, WMARoad, WMAWRTime, WMASex, WMAAge, WMAFactor) VALUES (12, 1, 1923, 'M', 67, 0.7608);</t>
  </si>
  <si>
    <t>INSERT INTO tblWMA (WMADistance, WMARoad, WMAWRTime, WMASex, WMAAge, WMAFactor) VALUES (12, 1, 1923, 'M', 68, 0.7532);</t>
  </si>
  <si>
    <t>INSERT INTO tblWMA (WMADistance, WMARoad, WMAWRTime, WMASex, WMAAge, WMAFactor) VALUES (12, 1, 1923, 'M', 69, 0.7457);</t>
  </si>
  <si>
    <t>INSERT INTO tblWMA (WMADistance, WMARoad, WMAWRTime, WMASex, WMAAge, WMAFactor) VALUES (12, 1, 1923, 'M', 70, 0.7381);</t>
  </si>
  <si>
    <t>INSERT INTO tblWMA (WMADistance, WMARoad, WMAWRTime, WMASex, WMAAge, WMAFactor) VALUES (12, 1, 1923, 'M', 71, 0.7302);</t>
  </si>
  <si>
    <t>INSERT INTO tblWMA (WMADistance, WMARoad, WMAWRTime, WMASex, WMAAge, WMAFactor) VALUES (12, 1, 1923, 'M', 72, 0.7216);</t>
  </si>
  <si>
    <t>INSERT INTO tblWMA (WMADistance, WMARoad, WMAWRTime, WMASex, WMAAge, WMAFactor) VALUES (12, 1, 1923, 'M', 73, 0.7124);</t>
  </si>
  <si>
    <t>INSERT INTO tblWMA (WMADistance, WMARoad, WMAWRTime, WMASex, WMAAge, WMAFactor) VALUES (12, 1, 1923, 'M', 74, 0.7024);</t>
  </si>
  <si>
    <t>INSERT INTO tblWMA (WMADistance, WMARoad, WMAWRTime, WMASex, WMAAge, WMAFactor) VALUES (12, 1, 1923, 'M', 75, 0.6918);</t>
  </si>
  <si>
    <t>INSERT INTO tblWMA (WMADistance, WMARoad, WMAWRTime, WMASex, WMAAge, WMAFactor) VALUES (12, 1, 1923, 'M', 76, 0.6806);</t>
  </si>
  <si>
    <t>INSERT INTO tblWMA (WMADistance, WMARoad, WMAWRTime, WMASex, WMAAge, WMAFactor) VALUES (12, 1, 1923, 'M', 77, 0.6686);</t>
  </si>
  <si>
    <t>INSERT INTO tblWMA (WMADistance, WMARoad, WMAWRTime, WMASex, WMAAge, WMAFactor) VALUES (12, 1, 1923, 'M', 78, 0.656);</t>
  </si>
  <si>
    <t>INSERT INTO tblWMA (WMADistance, WMARoad, WMAWRTime, WMASex, WMAAge, WMAFactor) VALUES (12, 1, 1923, 'M', 79, 0.6427);</t>
  </si>
  <si>
    <t>INSERT INTO tblWMA (WMADistance, WMARoad, WMAWRTime, WMASex, WMAAge, WMAFactor) VALUES (12, 1, 1923, 'M', 80, 0.6288);</t>
  </si>
  <si>
    <t>INSERT INTO tblWMA (WMADistance, WMARoad, WMAWRTime, WMASex, WMAAge, WMAFactor) VALUES (12, 1, 1923, 'M', 81, 0.6141);</t>
  </si>
  <si>
    <t>INSERT INTO tblWMA (WMADistance, WMARoad, WMAWRTime, WMASex, WMAAge, WMAFactor) VALUES (12, 1, 1923, 'M', 82, 0.5988);</t>
  </si>
  <si>
    <t>INSERT INTO tblWMA (WMADistance, WMARoad, WMAWRTime, WMASex, WMAAge, WMAFactor) VALUES (12, 1, 1923, 'M', 83, 0.5828);</t>
  </si>
  <si>
    <t>INSERT INTO tblWMA (WMADistance, WMARoad, WMAWRTime, WMASex, WMAAge, WMAFactor) VALUES (12, 1, 1923, 'M', 84, 0.5662);</t>
  </si>
  <si>
    <t>INSERT INTO tblWMA (WMADistance, WMARoad, WMAWRTime, WMASex, WMAAge, WMAFactor) VALUES (12, 1, 1923, 'M', 85, 0.5489);</t>
  </si>
  <si>
    <t>INSERT INTO tblWMA (WMADistance, WMARoad, WMAWRTime, WMASex, WMAAge, WMAFactor) VALUES (12, 1, 1923, 'M', 86, 0.5309);</t>
  </si>
  <si>
    <t>INSERT INTO tblWMA (WMADistance, WMARoad, WMAWRTime, WMASex, WMAAge, WMAFactor) VALUES (12, 1, 1923, 'M', 87, 0.5122);</t>
  </si>
  <si>
    <t>INSERT INTO tblWMA (WMADistance, WMARoad, WMAWRTime, WMASex, WMAAge, WMAFactor) VALUES (12, 1, 1923, 'M', 88, 0.4928);</t>
  </si>
  <si>
    <t>INSERT INTO tblWMA (WMADistance, WMARoad, WMAWRTime, WMASex, WMAAge, WMAFactor) VALUES (12, 1, 1923, 'M', 89, 0.4728);</t>
  </si>
  <si>
    <t>INSERT INTO tblWMA (WMADistance, WMARoad, WMAWRTime, WMASex, WMAAge, WMAFactor) VALUES (12, 1, 1923, 'M', 90, 0.4521);</t>
  </si>
  <si>
    <t>INSERT INTO tblWMA (WMADistance, WMARoad, WMAWRTime, WMASex, WMAAge, WMAFactor) VALUES (12, 1, 1923, 'M', 91, 0.4308);</t>
  </si>
  <si>
    <t>INSERT INTO tblWMA (WMADistance, WMARoad, WMAWRTime, WMASex, WMAAge, WMAFactor) VALUES (12, 1, 1923, 'M', 92, 0.4087);</t>
  </si>
  <si>
    <t>INSERT INTO tblWMA (WMADistance, WMARoad, WMAWRTime, WMASex, WMAAge, WMAFactor) VALUES (12, 1, 1923, 'M', 93, 0.386);</t>
  </si>
  <si>
    <t>INSERT INTO tblWMA (WMADistance, WMARoad, WMAWRTime, WMASex, WMAAge, WMAFactor) VALUES (12, 1, 1923, 'M', 94, 0.3626);</t>
  </si>
  <si>
    <t>INSERT INTO tblWMA (WMADistance, WMARoad, WMAWRTime, WMASex, WMAAge, WMAFactor) VALUES (12, 1, 1923, 'M', 95, 0.3386);</t>
  </si>
  <si>
    <t>INSERT INTO tblWMA (WMADistance, WMARoad, WMAWRTime, WMASex, WMAAge, WMAFactor) VALUES (12, 1, 1923, 'M', 96, 0.3139);</t>
  </si>
  <si>
    <t>INSERT INTO tblWMA (WMADistance, WMARoad, WMAWRTime, WMASex, WMAAge, WMAFactor) VALUES (12, 1, 1923, 'M', 97, 0.2885);</t>
  </si>
  <si>
    <t>INSERT INTO tblWMA (WMADistance, WMARoad, WMAWRTime, WMASex, WMAAge, WMAFactor) VALUES (12, 1, 1923, 'M', 98, 0.2624);</t>
  </si>
  <si>
    <t>INSERT INTO tblWMA (WMADistance, WMARoad, WMAWRTime, WMASex, WMAAge, WMAFactor) VALUES (12, 1, 1923, 'M', 99, 0.2356);</t>
  </si>
  <si>
    <t>INSERT INTO tblWMA (WMADistance, WMARoad, WMAWRTime, WMASex, WMAAge, WMAFactor) VALUES (12, 1, 1923, 'M', 100, 0.2082);</t>
  </si>
  <si>
    <t>INSERT INTO tblWMA (WMADistance, WMARoad, WMAWRTime, WMASex, WMAAge, WMAFactor) VALUES (15, 1, 2436, 'M', 5, 0.6056);</t>
  </si>
  <si>
    <t>INSERT INTO tblWMA (WMADistance, WMARoad, WMAWRTime, WMASex, WMAAge, WMAFactor) VALUES (15, 1, 2436, 'M', 6, 0.6596);</t>
  </si>
  <si>
    <t>INSERT INTO tblWMA (WMADistance, WMARoad, WMAWRTime, WMASex, WMAAge, WMAFactor) VALUES (15, 1, 2436, 'M', 7, 0.7096);</t>
  </si>
  <si>
    <t>INSERT INTO tblWMA (WMADistance, WMARoad, WMAWRTime, WMASex, WMAAge, WMAFactor) VALUES (15, 1, 2436, 'M', 8, 0.7556);</t>
  </si>
  <si>
    <t>INSERT INTO tblWMA (WMADistance, WMARoad, WMAWRTime, WMASex, WMAAge, WMAFactor) VALUES (15, 1, 2436, 'M', 9, 0.7976);</t>
  </si>
  <si>
    <t>INSERT INTO tblWMA (WMADistance, WMARoad, WMAWRTime, WMASex, WMAAge, WMAFactor) VALUES (15, 1, 2436, 'M', 10, 0.8356);</t>
  </si>
  <si>
    <t>INSERT INTO tblWMA (WMADistance, WMARoad, WMAWRTime, WMASex, WMAAge, WMAFactor) VALUES (15, 1, 2436, 'M', 11, 0.8696);</t>
  </si>
  <si>
    <t>INSERT INTO tblWMA (WMADistance, WMARoad, WMAWRTime, WMASex, WMAAge, WMAFactor) VALUES (15, 1, 2436, 'M', 12, 0.8996);</t>
  </si>
  <si>
    <t>INSERT INTO tblWMA (WMADistance, WMARoad, WMAWRTime, WMASex, WMAAge, WMAFactor) VALUES (15, 1, 2436, 'M', 13, 0.9256);</t>
  </si>
  <si>
    <t>INSERT INTO tblWMA (WMADistance, WMARoad, WMAWRTime, WMASex, WMAAge, WMAFactor) VALUES (15, 1, 2436, 'M', 14, 0.9476);</t>
  </si>
  <si>
    <t>INSERT INTO tblWMA (WMADistance, WMARoad, WMAWRTime, WMASex, WMAAge, WMAFactor) VALUES (15, 1, 2436, 'M', 15, 0.9656);</t>
  </si>
  <si>
    <t>INSERT INTO tblWMA (WMADistance, WMARoad, WMAWRTime, WMASex, WMAAge, WMAFactor) VALUES (15, 1, 2436, 'M', 16, 0.9796);</t>
  </si>
  <si>
    <t>INSERT INTO tblWMA (WMADistance, WMARoad, WMAWRTime, WMASex, WMAAge, WMAFactor) VALUES (15, 1, 2436, 'M', 17, 0.9916);</t>
  </si>
  <si>
    <t>INSERT INTO tblWMA (WMADistance, WMARoad, WMAWRTime, WMASex, WMAAge, WMAFactor) VALUES (15, 1, 2436, 'M', 18, 0.9993);</t>
  </si>
  <si>
    <t>INSERT INTO tblWMA (WMADistance, WMARoad, WMAWRTime, WMASex, WMAAge, WMAFactor) VALUES (15, 1, 2436, 'M', 19, 1);</t>
  </si>
  <si>
    <t>INSERT INTO tblWMA (WMADistance, WMARoad, WMAWRTime, WMASex, WMAAge, WMAFactor) VALUES (15, 1, 2436, 'M', 20, 1);</t>
  </si>
  <si>
    <t>INSERT INTO tblWMA (WMADistance, WMARoad, WMAWRTime, WMASex, WMAAge, WMAFactor) VALUES (15, 1, 2436, 'M', 21, 1);</t>
  </si>
  <si>
    <t>INSERT INTO tblWMA (WMADistance, WMARoad, WMAWRTime, WMASex, WMAAge, WMAFactor) VALUES (15, 1, 2436, 'M', 22, 1);</t>
  </si>
  <si>
    <t>INSERT INTO tblWMA (WMADistance, WMARoad, WMAWRTime, WMASex, WMAAge, WMAFactor) VALUES (15, 1, 2436, 'M', 23, 1);</t>
  </si>
  <si>
    <t>INSERT INTO tblWMA (WMADistance, WMARoad, WMAWRTime, WMASex, WMAAge, WMAFactor) VALUES (15, 1, 2436, 'M', 24, 1);</t>
  </si>
  <si>
    <t>INSERT INTO tblWMA (WMADistance, WMARoad, WMAWRTime, WMASex, WMAAge, WMAFactor) VALUES (15, 1, 2436, 'M', 25, 1);</t>
  </si>
  <si>
    <t>INSERT INTO tblWMA (WMADistance, WMARoad, WMAWRTime, WMASex, WMAAge, WMAFactor) VALUES (15, 1, 2436, 'M', 26, 1);</t>
  </si>
  <si>
    <t>INSERT INTO tblWMA (WMADistance, WMARoad, WMAWRTime, WMASex, WMAAge, WMAFactor) VALUES (15, 1, 2436, 'M', 27, 1);</t>
  </si>
  <si>
    <t>INSERT INTO tblWMA (WMADistance, WMARoad, WMAWRTime, WMASex, WMAAge, WMAFactor) VALUES (15, 1, 2436, 'M', 28, 1);</t>
  </si>
  <si>
    <t>INSERT INTO tblWMA (WMADistance, WMARoad, WMAWRTime, WMASex, WMAAge, WMAFactor) VALUES (15, 1, 2436, 'M', 29, 1);</t>
  </si>
  <si>
    <t>INSERT INTO tblWMA (WMADistance, WMARoad, WMAWRTime, WMASex, WMAAge, WMAFactor) VALUES (15, 1, 2436, 'M', 30, 1);</t>
  </si>
  <si>
    <t>INSERT INTO tblWMA (WMADistance, WMARoad, WMAWRTime, WMASex, WMAAge, WMAFactor) VALUES (15, 1, 2436, 'M', 31, 1);</t>
  </si>
  <si>
    <t>INSERT INTO tblWMA (WMADistance, WMARoad, WMAWRTime, WMASex, WMAAge, WMAFactor) VALUES (15, 1, 2436, 'M', 32, 0.9994);</t>
  </si>
  <si>
    <t>INSERT INTO tblWMA (WMADistance, WMARoad, WMAWRTime, WMASex, WMAAge, WMAFactor) VALUES (15, 1, 2436, 'M', 33, 0.998);</t>
  </si>
  <si>
    <t>INSERT INTO tblWMA (WMADistance, WMARoad, WMAWRTime, WMASex, WMAAge, WMAFactor) VALUES (15, 1, 2436, 'M', 34, 0.9958);</t>
  </si>
  <si>
    <t>INSERT INTO tblWMA (WMADistance, WMARoad, WMAWRTime, WMASex, WMAAge, WMAFactor) VALUES (15, 1, 2436, 'M', 35, 0.9929);</t>
  </si>
  <si>
    <t>INSERT INTO tblWMA (WMADistance, WMARoad, WMAWRTime, WMASex, WMAAge, WMAFactor) VALUES (15, 1, 2436, 'M', 36, 0.9892);</t>
  </si>
  <si>
    <t>INSERT INTO tblWMA (WMADistance, WMARoad, WMAWRTime, WMASex, WMAAge, WMAFactor) VALUES (15, 1, 2436, 'M', 37, 0.9848);</t>
  </si>
  <si>
    <t>INSERT INTO tblWMA (WMADistance, WMARoad, WMAWRTime, WMASex, WMAAge, WMAFactor) VALUES (15, 1, 2436, 'M', 38, 0.9796);</t>
  </si>
  <si>
    <t>INSERT INTO tblWMA (WMADistance, WMARoad, WMAWRTime, WMASex, WMAAge, WMAFactor) VALUES (15, 1, 2436, 'M', 39, 0.9736);</t>
  </si>
  <si>
    <t>INSERT INTO tblWMA (WMADistance, WMARoad, WMAWRTime, WMASex, WMAAge, WMAFactor) VALUES (15, 1, 2436, 'M', 40, 0.9669);</t>
  </si>
  <si>
    <t>INSERT INTO tblWMA (WMADistance, WMARoad, WMAWRTime, WMASex, WMAAge, WMAFactor) VALUES (15, 1, 2436, 'M', 41, 0.9594);</t>
  </si>
  <si>
    <t>INSERT INTO tblWMA (WMADistance, WMARoad, WMAWRTime, WMASex, WMAAge, WMAFactor) VALUES (15, 1, 2436, 'M', 42, 0.9517);</t>
  </si>
  <si>
    <t>INSERT INTO tblWMA (WMADistance, WMARoad, WMAWRTime, WMASex, WMAAge, WMAFactor) VALUES (15, 1, 2436, 'M', 43, 0.9441);</t>
  </si>
  <si>
    <t>INSERT INTO tblWMA (WMADistance, WMARoad, WMAWRTime, WMASex, WMAAge, WMAFactor) VALUES (15, 1, 2436, 'M', 44, 0.9364);</t>
  </si>
  <si>
    <t>INSERT INTO tblWMA (WMADistance, WMARoad, WMAWRTime, WMASex, WMAAge, WMAFactor) VALUES (15, 1, 2436, 'M', 45, 0.9288);</t>
  </si>
  <si>
    <t>INSERT INTO tblWMA (WMADistance, WMARoad, WMAWRTime, WMASex, WMAAge, WMAFactor) VALUES (15, 1, 2436, 'M', 46, 0.9211);</t>
  </si>
  <si>
    <t>INSERT INTO tblWMA (WMADistance, WMARoad, WMAWRTime, WMASex, WMAAge, WMAFactor) VALUES (15, 1, 2436, 'M', 47, 0.9135);</t>
  </si>
  <si>
    <t>INSERT INTO tblWMA (WMADistance, WMARoad, WMAWRTime, WMASex, WMAAge, WMAFactor) VALUES (15, 1, 2436, 'M', 48, 0.9058);</t>
  </si>
  <si>
    <t>INSERT INTO tblWMA (WMADistance, WMARoad, WMAWRTime, WMASex, WMAAge, WMAFactor) VALUES (15, 1, 2436, 'M', 49, 0.8982);</t>
  </si>
  <si>
    <t>INSERT INTO tblWMA (WMADistance, WMARoad, WMAWRTime, WMASex, WMAAge, WMAFactor) VALUES (15, 1, 2436, 'M', 50, 0.8905);</t>
  </si>
  <si>
    <t>INSERT INTO tblWMA (WMADistance, WMARoad, WMAWRTime, WMASex, WMAAge, WMAFactor) VALUES (15, 1, 2436, 'M', 51, 0.8829);</t>
  </si>
  <si>
    <t>INSERT INTO tblWMA (WMADistance, WMARoad, WMAWRTime, WMASex, WMAAge, WMAFactor) VALUES (15, 1, 2436, 'M', 52, 0.8752);</t>
  </si>
  <si>
    <t>INSERT INTO tblWMA (WMADistance, WMARoad, WMAWRTime, WMASex, WMAAge, WMAFactor) VALUES (15, 1, 2436, 'M', 53, 0.8676);</t>
  </si>
  <si>
    <t>INSERT INTO tblWMA (WMADistance, WMARoad, WMAWRTime, WMASex, WMAAge, WMAFactor) VALUES (15, 1, 2436, 'M', 54, 0.8599);</t>
  </si>
  <si>
    <t>INSERT INTO tblWMA (WMADistance, WMARoad, WMAWRTime, WMASex, WMAAge, WMAFactor) VALUES (15, 1, 2436, 'M', 55, 0.8523);</t>
  </si>
  <si>
    <t>INSERT INTO tblWMA (WMADistance, WMARoad, WMAWRTime, WMASex, WMAAge, WMAFactor) VALUES (15, 1, 2436, 'M', 56, 0.8446);</t>
  </si>
  <si>
    <t>INSERT INTO tblWMA (WMADistance, WMARoad, WMAWRTime, WMASex, WMAAge, WMAFactor) VALUES (15, 1, 2436, 'M', 57, 0.837);</t>
  </si>
  <si>
    <t>INSERT INTO tblWMA (WMADistance, WMARoad, WMAWRTime, WMASex, WMAAge, WMAFactor) VALUES (15, 1, 2436, 'M', 58, 0.8293);</t>
  </si>
  <si>
    <t>INSERT INTO tblWMA (WMADistance, WMARoad, WMAWRTime, WMASex, WMAAge, WMAFactor) VALUES (15, 1, 2436, 'M', 59, 0.8217);</t>
  </si>
  <si>
    <t>INSERT INTO tblWMA (WMADistance, WMARoad, WMAWRTime, WMASex, WMAAge, WMAFactor) VALUES (15, 1, 2436, 'M', 60, 0.814);</t>
  </si>
  <si>
    <t>INSERT INTO tblWMA (WMADistance, WMARoad, WMAWRTime, WMASex, WMAAge, WMAFactor) VALUES (15, 1, 2436, 'M', 61, 0.8063);</t>
  </si>
  <si>
    <t>INSERT INTO tblWMA (WMADistance, WMARoad, WMAWRTime, WMASex, WMAAge, WMAFactor) VALUES (15, 1, 2436, 'M', 62, 0.7987);</t>
  </si>
  <si>
    <t>INSERT INTO tblWMA (WMADistance, WMARoad, WMAWRTime, WMASex, WMAAge, WMAFactor) VALUES (15, 1, 2436, 'M', 63, 0.791);</t>
  </si>
  <si>
    <t>INSERT INTO tblWMA (WMADistance, WMARoad, WMAWRTime, WMASex, WMAAge, WMAFactor) VALUES (15, 1, 2436, 'M', 64, 0.7834);</t>
  </si>
  <si>
    <t>INSERT INTO tblWMA (WMADistance, WMARoad, WMAWRTime, WMASex, WMAAge, WMAFactor) VALUES (15, 1, 2436, 'M', 65, 0.7757);</t>
  </si>
  <si>
    <t>INSERT INTO tblWMA (WMADistance, WMARoad, WMAWRTime, WMASex, WMAAge, WMAFactor) VALUES (15, 1, 2436, 'M', 66, 0.7681);</t>
  </si>
  <si>
    <t>INSERT INTO tblWMA (WMADistance, WMARoad, WMAWRTime, WMASex, WMAAge, WMAFactor) VALUES (15, 1, 2436, 'M', 67, 0.7604);</t>
  </si>
  <si>
    <t>INSERT INTO tblWMA (WMADistance, WMARoad, WMAWRTime, WMASex, WMAAge, WMAFactor) VALUES (15, 1, 2436, 'M', 68, 0.7528);</t>
  </si>
  <si>
    <t>INSERT INTO tblWMA (WMADistance, WMARoad, WMAWRTime, WMASex, WMAAge, WMAFactor) VALUES (15, 1, 2436, 'M', 69, 0.7451);</t>
  </si>
  <si>
    <t>INSERT INTO tblWMA (WMADistance, WMARoad, WMAWRTime, WMASex, WMAAge, WMAFactor) VALUES (15, 1, 2436, 'M', 70, 0.7375);</t>
  </si>
  <si>
    <t>INSERT INTO tblWMA (WMADistance, WMARoad, WMAWRTime, WMASex, WMAAge, WMAFactor) VALUES (15, 1, 2436, 'M', 71, 0.7295);</t>
  </si>
  <si>
    <t>INSERT INTO tblWMA (WMADistance, WMARoad, WMAWRTime, WMASex, WMAAge, WMAFactor) VALUES (15, 1, 2436, 'M', 72, 0.7208);</t>
  </si>
  <si>
    <t>INSERT INTO tblWMA (WMADistance, WMARoad, WMAWRTime, WMASex, WMAAge, WMAFactor) VALUES (15, 1, 2436, 'M', 73, 0.7115);</t>
  </si>
  <si>
    <t>INSERT INTO tblWMA (WMADistance, WMARoad, WMAWRTime, WMASex, WMAAge, WMAFactor) VALUES (15, 1, 2436, 'M', 74, 0.7015);</t>
  </si>
  <si>
    <t>INSERT INTO tblWMA (WMADistance, WMARoad, WMAWRTime, WMASex, WMAAge, WMAFactor) VALUES (15, 1, 2436, 'M', 75, 0.6908);</t>
  </si>
  <si>
    <t>INSERT INTO tblWMA (WMADistance, WMARoad, WMAWRTime, WMASex, WMAAge, WMAFactor) VALUES (15, 1, 2436, 'M', 76, 0.6794);</t>
  </si>
  <si>
    <t>INSERT INTO tblWMA (WMADistance, WMARoad, WMAWRTime, WMASex, WMAAge, WMAFactor) VALUES (15, 1, 2436, 'M', 77, 0.6673);</t>
  </si>
  <si>
    <t>INSERT INTO tblWMA (WMADistance, WMARoad, WMAWRTime, WMASex, WMAAge, WMAFactor) VALUES (15, 1, 2436, 'M', 78, 0.6546);</t>
  </si>
  <si>
    <t>INSERT INTO tblWMA (WMADistance, WMARoad, WMAWRTime, WMASex, WMAAge, WMAFactor) VALUES (15, 1, 2436, 'M', 79, 0.6412);</t>
  </si>
  <si>
    <t>INSERT INTO tblWMA (WMADistance, WMARoad, WMAWRTime, WMASex, WMAAge, WMAFactor) VALUES (15, 1, 2436, 'M', 80, 0.6271);</t>
  </si>
  <si>
    <t>INSERT INTO tblWMA (WMADistance, WMARoad, WMAWRTime, WMASex, WMAAge, WMAFactor) VALUES (15, 1, 2436, 'M', 81, 0.6124);</t>
  </si>
  <si>
    <t>INSERT INTO tblWMA (WMADistance, WMARoad, WMAWRTime, WMASex, WMAAge, WMAFactor) VALUES (15, 1, 2436, 'M', 82, 0.5969);</t>
  </si>
  <si>
    <t>INSERT INTO tblWMA (WMADistance, WMARoad, WMAWRTime, WMASex, WMAAge, WMAFactor) VALUES (15, 1, 2436, 'M', 83, 0.5808);</t>
  </si>
  <si>
    <t>INSERT INTO tblWMA (WMADistance, WMARoad, WMAWRTime, WMASex, WMAAge, WMAFactor) VALUES (15, 1, 2436, 'M', 84, 0.5641);</t>
  </si>
  <si>
    <t>INSERT INTO tblWMA (WMADistance, WMARoad, WMAWRTime, WMASex, WMAAge, WMAFactor) VALUES (15, 1, 2436, 'M', 85, 0.5466);</t>
  </si>
  <si>
    <t>INSERT INTO tblWMA (WMADistance, WMARoad, WMAWRTime, WMASex, WMAAge, WMAFactor) VALUES (15, 1, 2436, 'M', 86, 0.5285);</t>
  </si>
  <si>
    <t>INSERT INTO tblWMA (WMADistance, WMARoad, WMAWRTime, WMASex, WMAAge, WMAFactor) VALUES (15, 1, 2436, 'M', 87, 0.5096);</t>
  </si>
  <si>
    <t>INSERT INTO tblWMA (WMADistance, WMARoad, WMAWRTime, WMASex, WMAAge, WMAFactor) VALUES (15, 1, 2436, 'M', 88, 0.4901);</t>
  </si>
  <si>
    <t>INSERT INTO tblWMA (WMADistance, WMARoad, WMAWRTime, WMASex, WMAAge, WMAFactor) VALUES (15, 1, 2436, 'M', 89, 0.47);</t>
  </si>
  <si>
    <t>INSERT INTO tblWMA (WMADistance, WMARoad, WMAWRTime, WMASex, WMAAge, WMAFactor) VALUES (15, 1, 2436, 'M', 90, 0.4491);</t>
  </si>
  <si>
    <t>INSERT INTO tblWMA (WMADistance, WMARoad, WMAWRTime, WMASex, WMAAge, WMAFactor) VALUES (15, 1, 2436, 'M', 91, 0.4276);</t>
  </si>
  <si>
    <t>INSERT INTO tblWMA (WMADistance, WMARoad, WMAWRTime, WMASex, WMAAge, WMAFactor) VALUES (15, 1, 2436, 'M', 92, 0.4054);</t>
  </si>
  <si>
    <t>INSERT INTO tblWMA (WMADistance, WMARoad, WMAWRTime, WMASex, WMAAge, WMAFactor) VALUES (15, 1, 2436, 'M', 93, 0.3825);</t>
  </si>
  <si>
    <t>INSERT INTO tblWMA (WMADistance, WMARoad, WMAWRTime, WMASex, WMAAge, WMAFactor) VALUES (15, 1, 2436, 'M', 94, 0.359);</t>
  </si>
  <si>
    <t>INSERT INTO tblWMA (WMADistance, WMARoad, WMAWRTime, WMASex, WMAAge, WMAFactor) VALUES (15, 1, 2436, 'M', 95, 0.3348);</t>
  </si>
  <si>
    <t>INSERT INTO tblWMA (WMADistance, WMARoad, WMAWRTime, WMASex, WMAAge, WMAFactor) VALUES (15, 1, 2436, 'M', 96, 0.3099);</t>
  </si>
  <si>
    <t>INSERT INTO tblWMA (WMADistance, WMARoad, WMAWRTime, WMASex, WMAAge, WMAFactor) VALUES (15, 1, 2436, 'M', 97, 0.2843);</t>
  </si>
  <si>
    <t>INSERT INTO tblWMA (WMADistance, WMARoad, WMAWRTime, WMASex, WMAAge, WMAFactor) VALUES (15, 1, 2436, 'M', 98, 0.258);</t>
  </si>
  <si>
    <t>INSERT INTO tblWMA (WMADistance, WMARoad, WMAWRTime, WMASex, WMAAge, WMAFactor) VALUES (15, 1, 2436, 'M', 99, 0.2311);</t>
  </si>
  <si>
    <t>INSERT INTO tblWMA (WMADistance, WMARoad, WMAWRTime, WMASex, WMAAge, WMAFactor) VALUES (15, 1, 2436, 'M', 100, 0.2035);</t>
  </si>
  <si>
    <t>INSERT INTO tblWMA (WMADistance, WMARoad, WMAWRTime, WMASex, WMAAge, WMAFactor) VALUES (16.093, 1, 2625, 'M', 5, 0.6056);</t>
  </si>
  <si>
    <t>INSERT INTO tblWMA (WMADistance, WMARoad, WMAWRTime, WMASex, WMAAge, WMAFactor) VALUES (16.093, 1, 2625, 'M', 6, 0.6596);</t>
  </si>
  <si>
    <t>INSERT INTO tblWMA (WMADistance, WMARoad, WMAWRTime, WMASex, WMAAge, WMAFactor) VALUES (16.093, 1, 2625, 'M', 7, 0.7096);</t>
  </si>
  <si>
    <t>INSERT INTO tblWMA (WMADistance, WMARoad, WMAWRTime, WMASex, WMAAge, WMAFactor) VALUES (16.093, 1, 2625, 'M', 8, 0.7556);</t>
  </si>
  <si>
    <t>INSERT INTO tblWMA (WMADistance, WMARoad, WMAWRTime, WMASex, WMAAge, WMAFactor) VALUES (16.093, 1, 2625, 'M', 9, 0.7976);</t>
  </si>
  <si>
    <t>INSERT INTO tblWMA (WMADistance, WMARoad, WMAWRTime, WMASex, WMAAge, WMAFactor) VALUES (16.093, 1, 2625, 'M', 10, 0.8356);</t>
  </si>
  <si>
    <t>INSERT INTO tblWMA (WMADistance, WMARoad, WMAWRTime, WMASex, WMAAge, WMAFactor) VALUES (16.093, 1, 2625, 'M', 11, 0.8696);</t>
  </si>
  <si>
    <t>INSERT INTO tblWMA (WMADistance, WMARoad, WMAWRTime, WMASex, WMAAge, WMAFactor) VALUES (16.093, 1, 2625, 'M', 12, 0.8996);</t>
  </si>
  <si>
    <t>INSERT INTO tblWMA (WMADistance, WMARoad, WMAWRTime, WMASex, WMAAge, WMAFactor) VALUES (16.093, 1, 2625, 'M', 13, 0.9256);</t>
  </si>
  <si>
    <t>INSERT INTO tblWMA (WMADistance, WMARoad, WMAWRTime, WMASex, WMAAge, WMAFactor) VALUES (16.093, 1, 2625, 'M', 14, 0.9476);</t>
  </si>
  <si>
    <t>INSERT INTO tblWMA (WMADistance, WMARoad, WMAWRTime, WMASex, WMAAge, WMAFactor) VALUES (16.093, 1, 2625, 'M', 15, 0.9656);</t>
  </si>
  <si>
    <t>INSERT INTO tblWMA (WMADistance, WMARoad, WMAWRTime, WMASex, WMAAge, WMAFactor) VALUES (16.093, 1, 2625, 'M', 16, 0.9796);</t>
  </si>
  <si>
    <t>INSERT INTO tblWMA (WMADistance, WMARoad, WMAWRTime, WMASex, WMAAge, WMAFactor) VALUES (16.093, 1, 2625, 'M', 17, 0.9916);</t>
  </si>
  <si>
    <t>INSERT INTO tblWMA (WMADistance, WMARoad, WMAWRTime, WMASex, WMAAge, WMAFactor) VALUES (16.093, 1, 2625, 'M', 18, 0.9993);</t>
  </si>
  <si>
    <t>INSERT INTO tblWMA (WMADistance, WMARoad, WMAWRTime, WMASex, WMAAge, WMAFactor) VALUES (16.093, 1, 2625, 'M', 19, 1);</t>
  </si>
  <si>
    <t>INSERT INTO tblWMA (WMADistance, WMARoad, WMAWRTime, WMASex, WMAAge, WMAFactor) VALUES (16.093, 1, 2625, 'M', 20, 1);</t>
  </si>
  <si>
    <t>INSERT INTO tblWMA (WMADistance, WMARoad, WMAWRTime, WMASex, WMAAge, WMAFactor) VALUES (16.093, 1, 2625, 'M', 21, 1);</t>
  </si>
  <si>
    <t>INSERT INTO tblWMA (WMADistance, WMARoad, WMAWRTime, WMASex, WMAAge, WMAFactor) VALUES (16.093, 1, 2625, 'M', 22, 1);</t>
  </si>
  <si>
    <t>INSERT INTO tblWMA (WMADistance, WMARoad, WMAWRTime, WMASex, WMAAge, WMAFactor) VALUES (16.093, 1, 2625, 'M', 23, 1);</t>
  </si>
  <si>
    <t>INSERT INTO tblWMA (WMADistance, WMARoad, WMAWRTime, WMASex, WMAAge, WMAFactor) VALUES (16.093, 1, 2625, 'M', 24, 1);</t>
  </si>
  <si>
    <t>INSERT INTO tblWMA (WMADistance, WMARoad, WMAWRTime, WMASex, WMAAge, WMAFactor) VALUES (16.093, 1, 2625, 'M', 25, 1);</t>
  </si>
  <si>
    <t>INSERT INTO tblWMA (WMADistance, WMARoad, WMAWRTime, WMASex, WMAAge, WMAFactor) VALUES (16.093, 1, 2625, 'M', 26, 1);</t>
  </si>
  <si>
    <t>INSERT INTO tblWMA (WMADistance, WMARoad, WMAWRTime, WMASex, WMAAge, WMAFactor) VALUES (16.093, 1, 2625, 'M', 27, 1);</t>
  </si>
  <si>
    <t>INSERT INTO tblWMA (WMADistance, WMARoad, WMAWRTime, WMASex, WMAAge, WMAFactor) VALUES (16.093, 1, 2625, 'M', 28, 1);</t>
  </si>
  <si>
    <t>INSERT INTO tblWMA (WMADistance, WMARoad, WMAWRTime, WMASex, WMAAge, WMAFactor) VALUES (16.093, 1, 2625, 'M', 29, 1);</t>
  </si>
  <si>
    <t>INSERT INTO tblWMA (WMADistance, WMARoad, WMAWRTime, WMASex, WMAAge, WMAFactor) VALUES (16.093, 1, 2625, 'M', 30, 1);</t>
  </si>
  <si>
    <t>INSERT INTO tblWMA (WMADistance, WMARoad, WMAWRTime, WMASex, WMAAge, WMAFactor) VALUES (16.093, 1, 2625, 'M', 31, 1);</t>
  </si>
  <si>
    <t>INSERT INTO tblWMA (WMADistance, WMARoad, WMAWRTime, WMASex, WMAAge, WMAFactor) VALUES (16.093, 1, 2625, 'M', 32, 0.9995);</t>
  </si>
  <si>
    <t>INSERT INTO tblWMA (WMADistance, WMARoad, WMAWRTime, WMASex, WMAAge, WMAFactor) VALUES (16.093, 1, 2625, 'M', 33, 0.9982);</t>
  </si>
  <si>
    <t>INSERT INTO tblWMA (WMADistance, WMARoad, WMAWRTime, WMASex, WMAAge, WMAFactor) VALUES (16.093, 1, 2625, 'M', 34, 0.9961);</t>
  </si>
  <si>
    <t>INSERT INTO tblWMA (WMADistance, WMARoad, WMAWRTime, WMASex, WMAAge, WMAFactor) VALUES (16.093, 1, 2625, 'M', 35, 0.9933);</t>
  </si>
  <si>
    <t>INSERT INTO tblWMA (WMADistance, WMARoad, WMAWRTime, WMASex, WMAAge, WMAFactor) VALUES (16.093, 1, 2625, 'M', 36, 0.9896);</t>
  </si>
  <si>
    <t>INSERT INTO tblWMA (WMADistance, WMARoad, WMAWRTime, WMASex, WMAAge, WMAFactor) VALUES (16.093, 1, 2625, 'M', 37, 0.9853);</t>
  </si>
  <si>
    <t>INSERT INTO tblWMA (WMADistance, WMARoad, WMAWRTime, WMASex, WMAAge, WMAFactor) VALUES (16.093, 1, 2625, 'M', 38, 0.9801);</t>
  </si>
  <si>
    <t>INSERT INTO tblWMA (WMADistance, WMARoad, WMAWRTime, WMASex, WMAAge, WMAFactor) VALUES (16.093, 1, 2625, 'M', 39, 0.9742);</t>
  </si>
  <si>
    <t>INSERT INTO tblWMA (WMADistance, WMARoad, WMAWRTime, WMASex, WMAAge, WMAFactor) VALUES (16.093, 1, 2625, 'M', 40, 0.9674);</t>
  </si>
  <si>
    <t>INSERT INTO tblWMA (WMADistance, WMARoad, WMAWRTime, WMASex, WMAAge, WMAFactor) VALUES (16.093, 1, 2625, 'M', 41, 0.96);</t>
  </si>
  <si>
    <t>INSERT INTO tblWMA (WMADistance, WMARoad, WMAWRTime, WMASex, WMAAge, WMAFactor) VALUES (16.093, 1, 2625, 'M', 42, 0.9523);</t>
  </si>
  <si>
    <t>INSERT INTO tblWMA (WMADistance, WMARoad, WMAWRTime, WMASex, WMAAge, WMAFactor) VALUES (16.093, 1, 2625, 'M', 43, 0.9446);</t>
  </si>
  <si>
    <t>INSERT INTO tblWMA (WMADistance, WMARoad, WMAWRTime, WMASex, WMAAge, WMAFactor) VALUES (16.093, 1, 2625, 'M', 44, 0.9369);</t>
  </si>
  <si>
    <t>INSERT INTO tblWMA (WMADistance, WMARoad, WMAWRTime, WMASex, WMAAge, WMAFactor) VALUES (16.093, 1, 2625, 'M', 45, 0.9293);</t>
  </si>
  <si>
    <t>INSERT INTO tblWMA (WMADistance, WMARoad, WMAWRTime, WMASex, WMAAge, WMAFactor) VALUES (16.093, 1, 2625, 'M', 46, 0.9216);</t>
  </si>
  <si>
    <t>INSERT INTO tblWMA (WMADistance, WMARoad, WMAWRTime, WMASex, WMAAge, WMAFactor) VALUES (16.093, 1, 2625, 'M', 47, 0.9139);</t>
  </si>
  <si>
    <t>INSERT INTO tblWMA (WMADistance, WMARoad, WMAWRTime, WMASex, WMAAge, WMAFactor) VALUES (16.093, 1, 2625, 'M', 48, 0.9062);</t>
  </si>
  <si>
    <t>INSERT INTO tblWMA (WMADistance, WMARoad, WMAWRTime, WMASex, WMAAge, WMAFactor) VALUES (16.093, 1, 2625, 'M', 49, 0.8985);</t>
  </si>
  <si>
    <t>INSERT INTO tblWMA (WMADistance, WMARoad, WMAWRTime, WMASex, WMAAge, WMAFactor) VALUES (16.093, 1, 2625, 'M', 50, 0.8909);</t>
  </si>
  <si>
    <t>INSERT INTO tblWMA (WMADistance, WMARoad, WMAWRTime, WMASex, WMAAge, WMAFactor) VALUES (16.093, 1, 2625, 'M', 51, 0.8832);</t>
  </si>
  <si>
    <t>INSERT INTO tblWMA (WMADistance, WMARoad, WMAWRTime, WMASex, WMAAge, WMAFactor) VALUES (16.093, 1, 2625, 'M', 52, 0.8755);</t>
  </si>
  <si>
    <t>INSERT INTO tblWMA (WMADistance, WMARoad, WMAWRTime, WMASex, WMAAge, WMAFactor) VALUES (16.093, 1, 2625, 'M', 53, 0.8678);</t>
  </si>
  <si>
    <t>INSERT INTO tblWMA (WMADistance, WMARoad, WMAWRTime, WMASex, WMAAge, WMAFactor) VALUES (16.093, 1, 2625, 'M', 54, 0.8602);</t>
  </si>
  <si>
    <t>INSERT INTO tblWMA (WMADistance, WMARoad, WMAWRTime, WMASex, WMAAge, WMAFactor) VALUES (16.093, 1, 2625, 'M', 55, 0.8525);</t>
  </si>
  <si>
    <t>INSERT INTO tblWMA (WMADistance, WMARoad, WMAWRTime, WMASex, WMAAge, WMAFactor) VALUES (16.093, 1, 2625, 'M', 56, 0.8448);</t>
  </si>
  <si>
    <t>INSERT INTO tblWMA (WMADistance, WMARoad, WMAWRTime, WMASex, WMAAge, WMAFactor) VALUES (16.093, 1, 2625, 'M', 57, 0.8371);</t>
  </si>
  <si>
    <t>INSERT INTO tblWMA (WMADistance, WMARoad, WMAWRTime, WMASex, WMAAge, WMAFactor) VALUES (16.093, 1, 2625, 'M', 58, 0.8294);</t>
  </si>
  <si>
    <t>INSERT INTO tblWMA (WMADistance, WMARoad, WMAWRTime, WMASex, WMAAge, WMAFactor) VALUES (16.093, 1, 2625, 'M', 59, 0.8218);</t>
  </si>
  <si>
    <t>INSERT INTO tblWMA (WMADistance, WMARoad, WMAWRTime, WMASex, WMAAge, WMAFactor) VALUES (16.093, 1, 2625, 'M', 60, 0.8141);</t>
  </si>
  <si>
    <t>INSERT INTO tblWMA (WMADistance, WMARoad, WMAWRTime, WMASex, WMAAge, WMAFactor) VALUES (16.093, 1, 2625, 'M', 61, 0.8064);</t>
  </si>
  <si>
    <t>INSERT INTO tblWMA (WMADistance, WMARoad, WMAWRTime, WMASex, WMAAge, WMAFactor) VALUES (16.093, 1, 2625, 'M', 62, 0.7987);</t>
  </si>
  <si>
    <t>INSERT INTO tblWMA (WMADistance, WMARoad, WMAWRTime, WMASex, WMAAge, WMAFactor) VALUES (16.093, 1, 2625, 'M', 63, 0.791);</t>
  </si>
  <si>
    <t>INSERT INTO tblWMA (WMADistance, WMARoad, WMAWRTime, WMASex, WMAAge, WMAFactor) VALUES (16.093, 1, 2625, 'M', 64, 0.7834);</t>
  </si>
  <si>
    <t>INSERT INTO tblWMA (WMADistance, WMARoad, WMAWRTime, WMASex, WMAAge, WMAFactor) VALUES (16.093, 1, 2625, 'M', 65, 0.7757);</t>
  </si>
  <si>
    <t>INSERT INTO tblWMA (WMADistance, WMARoad, WMAWRTime, WMASex, WMAAge, WMAFactor) VALUES (16.093, 1, 2625, 'M', 66, 0.768);</t>
  </si>
  <si>
    <t>INSERT INTO tblWMA (WMADistance, WMARoad, WMAWRTime, WMASex, WMAAge, WMAFactor) VALUES (16.093, 1, 2625, 'M', 67, 0.7603);</t>
  </si>
  <si>
    <t>INSERT INTO tblWMA (WMADistance, WMARoad, WMAWRTime, WMASex, WMAAge, WMAFactor) VALUES (16.093, 1, 2625, 'M', 68, 0.7527);</t>
  </si>
  <si>
    <t>INSERT INTO tblWMA (WMADistance, WMARoad, WMAWRTime, WMASex, WMAAge, WMAFactor) VALUES (16.093, 1, 2625, 'M', 69, 0.745);</t>
  </si>
  <si>
    <t>INSERT INTO tblWMA (WMADistance, WMARoad, WMAWRTime, WMASex, WMAAge, WMAFactor) VALUES (16.093, 1, 2625, 'M', 70, 0.7373);</t>
  </si>
  <si>
    <t>INSERT INTO tblWMA (WMADistance, WMARoad, WMAWRTime, WMASex, WMAAge, WMAFactor) VALUES (16.093, 1, 2625, 'M', 71, 0.7293);</t>
  </si>
  <si>
    <t>INSERT INTO tblWMA (WMADistance, WMARoad, WMAWRTime, WMASex, WMAAge, WMAFactor) VALUES (16.093, 1, 2625, 'M', 72, 0.7206);</t>
  </si>
  <si>
    <t>INSERT INTO tblWMA (WMADistance, WMARoad, WMAWRTime, WMASex, WMAAge, WMAFactor) VALUES (16.093, 1, 2625, 'M', 73, 0.7112);</t>
  </si>
  <si>
    <t>INSERT INTO tblWMA (WMADistance, WMARoad, WMAWRTime, WMASex, WMAAge, WMAFactor) VALUES (16.093, 1, 2625, 'M', 74, 0.7012);</t>
  </si>
  <si>
    <t>INSERT INTO tblWMA (WMADistance, WMARoad, WMAWRTime, WMASex, WMAAge, WMAFactor) VALUES (16.093, 1, 2625, 'M', 75, 0.6904);</t>
  </si>
  <si>
    <t>INSERT INTO tblWMA (WMADistance, WMARoad, WMAWRTime, WMASex, WMAAge, WMAFactor) VALUES (16.093, 1, 2625, 'M', 76, 0.679);</t>
  </si>
  <si>
    <t>INSERT INTO tblWMA (WMADistance, WMARoad, WMAWRTime, WMASex, WMAAge, WMAFactor) VALUES (16.093, 1, 2625, 'M', 77, 0.6669);</t>
  </si>
  <si>
    <t>INSERT INTO tblWMA (WMADistance, WMARoad, WMAWRTime, WMASex, WMAAge, WMAFactor) VALUES (16.093, 1, 2625, 'M', 78, 0.6542);</t>
  </si>
  <si>
    <t>INSERT INTO tblWMA (WMADistance, WMARoad, WMAWRTime, WMASex, WMAAge, WMAFactor) VALUES (16.093, 1, 2625, 'M', 79, 0.6407);</t>
  </si>
  <si>
    <t>INSERT INTO tblWMA (WMADistance, WMARoad, WMAWRTime, WMASex, WMAAge, WMAFactor) VALUES (16.093, 1, 2625, 'M', 80, 0.6266);</t>
  </si>
  <si>
    <t>INSERT INTO tblWMA (WMADistance, WMARoad, WMAWRTime, WMASex, WMAAge, WMAFactor) VALUES (16.093, 1, 2625, 'M', 81, 0.6118);</t>
  </si>
  <si>
    <t>INSERT INTO tblWMA (WMADistance, WMARoad, WMAWRTime, WMASex, WMAAge, WMAFactor) VALUES (16.093, 1, 2625, 'M', 82, 0.5964);</t>
  </si>
  <si>
    <t>INSERT INTO tblWMA (WMADistance, WMARoad, WMAWRTime, WMASex, WMAAge, WMAFactor) VALUES (16.093, 1, 2625, 'M', 83, 0.5802);</t>
  </si>
  <si>
    <t>INSERT INTO tblWMA (WMADistance, WMARoad, WMAWRTime, WMASex, WMAAge, WMAFactor) VALUES (16.093, 1, 2625, 'M', 84, 0.5634);</t>
  </si>
  <si>
    <t>INSERT INTO tblWMA (WMADistance, WMARoad, WMAWRTime, WMASex, WMAAge, WMAFactor) VALUES (16.093, 1, 2625, 'M', 85, 0.5459);</t>
  </si>
  <si>
    <t>INSERT INTO tblWMA (WMADistance, WMARoad, WMAWRTime, WMASex, WMAAge, WMAFactor) VALUES (16.093, 1, 2625, 'M', 86, 0.5277);</t>
  </si>
  <si>
    <t>INSERT INTO tblWMA (WMADistance, WMARoad, WMAWRTime, WMASex, WMAAge, WMAFactor) VALUES (16.093, 1, 2625, 'M', 87, 0.5088);</t>
  </si>
  <si>
    <t>INSERT INTO tblWMA (WMADistance, WMARoad, WMAWRTime, WMASex, WMAAge, WMAFactor) VALUES (16.093, 1, 2625, 'M', 88, 0.4893);</t>
  </si>
  <si>
    <t>INSERT INTO tblWMA (WMADistance, WMARoad, WMAWRTime, WMASex, WMAAge, WMAFactor) VALUES (16.093, 1, 2625, 'M', 89, 0.4691);</t>
  </si>
  <si>
    <t>INSERT INTO tblWMA (WMADistance, WMARoad, WMAWRTime, WMASex, WMAAge, WMAFactor) VALUES (16.093, 1, 2625, 'M', 90, 0.4482);</t>
  </si>
  <si>
    <t>INSERT INTO tblWMA (WMADistance, WMARoad, WMAWRTime, WMASex, WMAAge, WMAFactor) VALUES (16.093, 1, 2625, 'M', 91, 0.4266);</t>
  </si>
  <si>
    <t>INSERT INTO tblWMA (WMADistance, WMARoad, WMAWRTime, WMASex, WMAAge, WMAFactor) VALUES (16.093, 1, 2625, 'M', 92, 0.4044);</t>
  </si>
  <si>
    <t>INSERT INTO tblWMA (WMADistance, WMARoad, WMAWRTime, WMASex, WMAAge, WMAFactor) VALUES (16.093, 1, 2625, 'M', 93, 0.3815);</t>
  </si>
  <si>
    <t>INSERT INTO tblWMA (WMADistance, WMARoad, WMAWRTime, WMASex, WMAAge, WMAFactor) VALUES (16.093, 1, 2625, 'M', 94, 0.3579);</t>
  </si>
  <si>
    <t>INSERT INTO tblWMA (WMADistance, WMARoad, WMAWRTime, WMASex, WMAAge, WMAFactor) VALUES (16.093, 1, 2625, 'M', 95, 0.3336);</t>
  </si>
  <si>
    <t>INSERT INTO tblWMA (WMADistance, WMARoad, WMAWRTime, WMASex, WMAAge, WMAFactor) VALUES (16.093, 1, 2625, 'M', 96, 0.3086);</t>
  </si>
  <si>
    <t>INSERT INTO tblWMA (WMADistance, WMARoad, WMAWRTime, WMASex, WMAAge, WMAFactor) VALUES (16.093, 1, 2625, 'M', 97, 0.283);</t>
  </si>
  <si>
    <t>INSERT INTO tblWMA (WMADistance, WMARoad, WMAWRTime, WMASex, WMAAge, WMAFactor) VALUES (16.093, 1, 2625, 'M', 98, 0.2567);</t>
  </si>
  <si>
    <t>INSERT INTO tblWMA (WMADistance, WMARoad, WMAWRTime, WMASex, WMAAge, WMAFactor) VALUES (16.093, 1, 2625, 'M', 99, 0.2297);</t>
  </si>
  <si>
    <t>INSERT INTO tblWMA (WMADistance, WMARoad, WMAWRTime, WMASex, WMAAge, WMAFactor) VALUES (16.093, 1, 2625, 'M', 100, 0.202);</t>
  </si>
  <si>
    <t>INSERT INTO tblWMA (WMADistance, WMARoad, WMAWRTime, WMASex, WMAAge, WMAFactor) VALUES (20, 1, 3298, 'M', 5, 0.6056);</t>
  </si>
  <si>
    <t>INSERT INTO tblWMA (WMADistance, WMARoad, WMAWRTime, WMASex, WMAAge, WMAFactor) VALUES (20, 1, 3298, 'M', 6, 0.6596);</t>
  </si>
  <si>
    <t>INSERT INTO tblWMA (WMADistance, WMARoad, WMAWRTime, WMASex, WMAAge, WMAFactor) VALUES (20, 1, 3298, 'M', 7, 0.7096);</t>
  </si>
  <si>
    <t>INSERT INTO tblWMA (WMADistance, WMARoad, WMAWRTime, WMASex, WMAAge, WMAFactor) VALUES (20, 1, 3298, 'M', 8, 0.7556);</t>
  </si>
  <si>
    <t>INSERT INTO tblWMA (WMADistance, WMARoad, WMAWRTime, WMASex, WMAAge, WMAFactor) VALUES (20, 1, 3298, 'M', 9, 0.7976);</t>
  </si>
  <si>
    <t>INSERT INTO tblWMA (WMADistance, WMARoad, WMAWRTime, WMASex, WMAAge, WMAFactor) VALUES (20, 1, 3298, 'M', 10, 0.8356);</t>
  </si>
  <si>
    <t>INSERT INTO tblWMA (WMADistance, WMARoad, WMAWRTime, WMASex, WMAAge, WMAFactor) VALUES (20, 1, 3298, 'M', 11, 0.8696);</t>
  </si>
  <si>
    <t>INSERT INTO tblWMA (WMADistance, WMARoad, WMAWRTime, WMASex, WMAAge, WMAFactor) VALUES (20, 1, 3298, 'M', 12, 0.8996);</t>
  </si>
  <si>
    <t>INSERT INTO tblWMA (WMADistance, WMARoad, WMAWRTime, WMASex, WMAAge, WMAFactor) VALUES (20, 1, 3298, 'M', 13, 0.9256);</t>
  </si>
  <si>
    <t>INSERT INTO tblWMA (WMADistance, WMARoad, WMAWRTime, WMASex, WMAAge, WMAFactor) VALUES (20, 1, 3298, 'M', 14, 0.9476);</t>
  </si>
  <si>
    <t>INSERT INTO tblWMA (WMADistance, WMARoad, WMAWRTime, WMASex, WMAAge, WMAFactor) VALUES (20, 1, 3298, 'M', 15, 0.9656);</t>
  </si>
  <si>
    <t>INSERT INTO tblWMA (WMADistance, WMARoad, WMAWRTime, WMASex, WMAAge, WMAFactor) VALUES (20, 1, 3298, 'M', 16, 0.9796);</t>
  </si>
  <si>
    <t>INSERT INTO tblWMA (WMADistance, WMARoad, WMAWRTime, WMASex, WMAAge, WMAFactor) VALUES (20, 1, 3298, 'M', 17, 0.9916);</t>
  </si>
  <si>
    <t>INSERT INTO tblWMA (WMADistance, WMARoad, WMAWRTime, WMASex, WMAAge, WMAFactor) VALUES (20, 1, 3298, 'M', 18, 0.9993);</t>
  </si>
  <si>
    <t>INSERT INTO tblWMA (WMADistance, WMARoad, WMAWRTime, WMASex, WMAAge, WMAFactor) VALUES (20, 1, 3298, 'M', 19, 1);</t>
  </si>
  <si>
    <t>INSERT INTO tblWMA (WMADistance, WMARoad, WMAWRTime, WMASex, WMAAge, WMAFactor) VALUES (20, 1, 3298, 'M', 20, 1);</t>
  </si>
  <si>
    <t>INSERT INTO tblWMA (WMADistance, WMARoad, WMAWRTime, WMASex, WMAAge, WMAFactor) VALUES (20, 1, 3298, 'M', 21, 1);</t>
  </si>
  <si>
    <t>INSERT INTO tblWMA (WMADistance, WMARoad, WMAWRTime, WMASex, WMAAge, WMAFactor) VALUES (20, 1, 3298, 'M', 22, 1);</t>
  </si>
  <si>
    <t>INSERT INTO tblWMA (WMADistance, WMARoad, WMAWRTime, WMASex, WMAAge, WMAFactor) VALUES (20, 1, 3298, 'M', 23, 1);</t>
  </si>
  <si>
    <t>INSERT INTO tblWMA (WMADistance, WMARoad, WMAWRTime, WMASex, WMAAge, WMAFactor) VALUES (20, 1, 3298, 'M', 24, 1);</t>
  </si>
  <si>
    <t>INSERT INTO tblWMA (WMADistance, WMARoad, WMAWRTime, WMASex, WMAAge, WMAFactor) VALUES (20, 1, 3298, 'M', 25, 1);</t>
  </si>
  <si>
    <t>INSERT INTO tblWMA (WMADistance, WMARoad, WMAWRTime, WMASex, WMAAge, WMAFactor) VALUES (20, 1, 3298, 'M', 26, 1);</t>
  </si>
  <si>
    <t>INSERT INTO tblWMA (WMADistance, WMARoad, WMAWRTime, WMASex, WMAAge, WMAFactor) VALUES (20, 1, 3298, 'M', 27, 1);</t>
  </si>
  <si>
    <t>INSERT INTO tblWMA (WMADistance, WMARoad, WMAWRTime, WMASex, WMAAge, WMAFactor) VALUES (20, 1, 3298, 'M', 28, 1);</t>
  </si>
  <si>
    <t>INSERT INTO tblWMA (WMADistance, WMARoad, WMAWRTime, WMASex, WMAAge, WMAFactor) VALUES (20, 1, 3298, 'M', 29, 1);</t>
  </si>
  <si>
    <t>INSERT INTO tblWMA (WMADistance, WMARoad, WMAWRTime, WMASex, WMAAge, WMAFactor) VALUES (20, 1, 3298, 'M', 30, 1);</t>
  </si>
  <si>
    <t>INSERT INTO tblWMA (WMADistance, WMARoad, WMAWRTime, WMASex, WMAAge, WMAFactor) VALUES (20, 1, 3298, 'M', 31, 1);</t>
  </si>
  <si>
    <t>INSERT INTO tblWMA (WMADistance, WMARoad, WMAWRTime, WMASex, WMAAge, WMAFactor) VALUES (20, 1, 3298, 'M', 32, 0.9997);</t>
  </si>
  <si>
    <t>INSERT INTO tblWMA (WMADistance, WMARoad, WMAWRTime, WMASex, WMAAge, WMAFactor) VALUES (20, 1, 3298, 'M', 33, 0.9987);</t>
  </si>
  <si>
    <t>INSERT INTO tblWMA (WMADistance, WMARoad, WMAWRTime, WMASex, WMAAge, WMAFactor) VALUES (20, 1, 3298, 'M', 34, 0.9969);</t>
  </si>
  <si>
    <t>INSERT INTO tblWMA (WMADistance, WMARoad, WMAWRTime, WMASex, WMAAge, WMAFactor) VALUES (20, 1, 3298, 'M', 35, 0.9943);</t>
  </si>
  <si>
    <t>INSERT INTO tblWMA (WMADistance, WMARoad, WMAWRTime, WMASex, WMAAge, WMAFactor) VALUES (20, 1, 3298, 'M', 36, 0.9909);</t>
  </si>
  <si>
    <t>INSERT INTO tblWMA (WMADistance, WMARoad, WMAWRTime, WMASex, WMAAge, WMAFactor) VALUES (20, 1, 3298, 'M', 37, 0.9866);</t>
  </si>
  <si>
    <t>INSERT INTO tblWMA (WMADistance, WMARoad, WMAWRTime, WMASex, WMAAge, WMAFactor) VALUES (20, 1, 3298, 'M', 38, 0.9816);</t>
  </si>
  <si>
    <t>INSERT INTO tblWMA (WMADistance, WMARoad, WMAWRTime, WMASex, WMAAge, WMAFactor) VALUES (20, 1, 3298, 'M', 39, 0.9758);</t>
  </si>
  <si>
    <t>INSERT INTO tblWMA (WMADistance, WMARoad, WMAWRTime, WMASex, WMAAge, WMAFactor) VALUES (20, 1, 3298, 'M', 40, 0.9692);</t>
  </si>
  <si>
    <t>INSERT INTO tblWMA (WMADistance, WMARoad, WMAWRTime, WMASex, WMAAge, WMAFactor) VALUES (20, 1, 3298, 'M', 41, 0.9618);</t>
  </si>
  <si>
    <t>INSERT INTO tblWMA (WMADistance, WMARoad, WMAWRTime, WMASex, WMAAge, WMAFactor) VALUES (20, 1, 3298, 'M', 42, 0.954);</t>
  </si>
  <si>
    <t>INSERT INTO tblWMA (WMADistance, WMARoad, WMAWRTime, WMASex, WMAAge, WMAFactor) VALUES (20, 1, 3298, 'M', 43, 0.9463);</t>
  </si>
  <si>
    <t>INSERT INTO tblWMA (WMADistance, WMARoad, WMAWRTime, WMASex, WMAAge, WMAFactor) VALUES (20, 1, 3298, 'M', 44, 0.9385);</t>
  </si>
  <si>
    <t>INSERT INTO tblWMA (WMADistance, WMARoad, WMAWRTime, WMASex, WMAAge, WMAFactor) VALUES (20, 1, 3298, 'M', 45, 0.9308);</t>
  </si>
  <si>
    <t>INSERT INTO tblWMA (WMADistance, WMARoad, WMAWRTime, WMASex, WMAAge, WMAFactor) VALUES (20, 1, 3298, 'M', 46, 0.923);</t>
  </si>
  <si>
    <t>INSERT INTO tblWMA (WMADistance, WMARoad, WMAWRTime, WMASex, WMAAge, WMAFactor) VALUES (20, 1, 3298, 'M', 47, 0.9152);</t>
  </si>
  <si>
    <t>INSERT INTO tblWMA (WMADistance, WMARoad, WMAWRTime, WMASex, WMAAge, WMAFactor) VALUES (20, 1, 3298, 'M', 48, 0.9075);</t>
  </si>
  <si>
    <t>INSERT INTO tblWMA (WMADistance, WMARoad, WMAWRTime, WMASex, WMAAge, WMAFactor) VALUES (20, 1, 3298, 'M', 49, 0.8997);</t>
  </si>
  <si>
    <t>INSERT INTO tblWMA (WMADistance, WMARoad, WMAWRTime, WMASex, WMAAge, WMAFactor) VALUES (20, 1, 3298, 'M', 50, 0.892);</t>
  </si>
  <si>
    <t>INSERT INTO tblWMA (WMADistance, WMARoad, WMAWRTime, WMASex, WMAAge, WMAFactor) VALUES (20, 1, 3298, 'M', 51, 0.8842);</t>
  </si>
  <si>
    <t>INSERT INTO tblWMA (WMADistance, WMARoad, WMAWRTime, WMASex, WMAAge, WMAFactor) VALUES (20, 1, 3298, 'M', 52, 0.8764);</t>
  </si>
  <si>
    <t>INSERT INTO tblWMA (WMADistance, WMARoad, WMAWRTime, WMASex, WMAAge, WMAFactor) VALUES (20, 1, 3298, 'M', 53, 0.8687);</t>
  </si>
  <si>
    <t>INSERT INTO tblWMA (WMADistance, WMARoad, WMAWRTime, WMASex, WMAAge, WMAFactor) VALUES (20, 1, 3298, 'M', 54, 0.8609);</t>
  </si>
  <si>
    <t>INSERT INTO tblWMA (WMADistance, WMARoad, WMAWRTime, WMASex, WMAAge, WMAFactor) VALUES (20, 1, 3298, 'M', 55, 0.8532);</t>
  </si>
  <si>
    <t>INSERT INTO tblWMA (WMADistance, WMARoad, WMAWRTime, WMASex, WMAAge, WMAFactor) VALUES (20, 1, 3298, 'M', 56, 0.8454);</t>
  </si>
  <si>
    <t>INSERT INTO tblWMA (WMADistance, WMARoad, WMAWRTime, WMASex, WMAAge, WMAFactor) VALUES (20, 1, 3298, 'M', 57, 0.8376);</t>
  </si>
  <si>
    <t>INSERT INTO tblWMA (WMADistance, WMARoad, WMAWRTime, WMASex, WMAAge, WMAFactor) VALUES (20, 1, 3298, 'M', 58, 0.8299);</t>
  </si>
  <si>
    <t>INSERT INTO tblWMA (WMADistance, WMARoad, WMAWRTime, WMASex, WMAAge, WMAFactor) VALUES (20, 1, 3298, 'M', 59, 0.8221);</t>
  </si>
  <si>
    <t>INSERT INTO tblWMA (WMADistance, WMARoad, WMAWRTime, WMASex, WMAAge, WMAFactor) VALUES (20, 1, 3298, 'M', 60, 0.8144);</t>
  </si>
  <si>
    <t>INSERT INTO tblWMA (WMADistance, WMARoad, WMAWRTime, WMASex, WMAAge, WMAFactor) VALUES (20, 1, 3298, 'M', 61, 0.8066);</t>
  </si>
  <si>
    <t>INSERT INTO tblWMA (WMADistance, WMARoad, WMAWRTime, WMASex, WMAAge, WMAFactor) VALUES (20, 1, 3298, 'M', 62, 0.7988);</t>
  </si>
  <si>
    <t>INSERT INTO tblWMA (WMADistance, WMARoad, WMAWRTime, WMASex, WMAAge, WMAFactor) VALUES (20, 1, 3298, 'M', 63, 0.7911);</t>
  </si>
  <si>
    <t>INSERT INTO tblWMA (WMADistance, WMARoad, WMAWRTime, WMASex, WMAAge, WMAFactor) VALUES (20, 1, 3298, 'M', 64, 0.7833);</t>
  </si>
  <si>
    <t>INSERT INTO tblWMA (WMADistance, WMARoad, WMAWRTime, WMASex, WMAAge, WMAFactor) VALUES (20, 1, 3298, 'M', 65, 0.7756);</t>
  </si>
  <si>
    <t>INSERT INTO tblWMA (WMADistance, WMARoad, WMAWRTime, WMASex, WMAAge, WMAFactor) VALUES (20, 1, 3298, 'M', 66, 0.7678);</t>
  </si>
  <si>
    <t>INSERT INTO tblWMA (WMADistance, WMARoad, WMAWRTime, WMASex, WMAAge, WMAFactor) VALUES (20, 1, 3298, 'M', 67, 0.76);</t>
  </si>
  <si>
    <t>INSERT INTO tblWMA (WMADistance, WMARoad, WMAWRTime, WMASex, WMAAge, WMAFactor) VALUES (20, 1, 3298, 'M', 68, 0.7523);</t>
  </si>
  <si>
    <t>INSERT INTO tblWMA (WMADistance, WMARoad, WMAWRTime, WMASex, WMAAge, WMAFactor) VALUES (20, 1, 3298, 'M', 69, 0.7445);</t>
  </si>
  <si>
    <t>INSERT INTO tblWMA (WMADistance, WMARoad, WMAWRTime, WMASex, WMAAge, WMAFactor) VALUES (20, 1, 3298, 'M', 70, 0.7368);</t>
  </si>
  <si>
    <t>INSERT INTO tblWMA (WMADistance, WMARoad, WMAWRTime, WMASex, WMAAge, WMAFactor) VALUES (20, 1, 3298, 'M', 71, 0.7287);</t>
  </si>
  <si>
    <t>INSERT INTO tblWMA (WMADistance, WMARoad, WMAWRTime, WMASex, WMAAge, WMAFactor) VALUES (20, 1, 3298, 'M', 72, 0.7199);</t>
  </si>
  <si>
    <t>INSERT INTO tblWMA (WMADistance, WMARoad, WMAWRTime, WMASex, WMAAge, WMAFactor) VALUES (20, 1, 3298, 'M', 73, 0.7104);</t>
  </si>
  <si>
    <t>INSERT INTO tblWMA (WMADistance, WMARoad, WMAWRTime, WMASex, WMAAge, WMAFactor) VALUES (20, 1, 3298, 'M', 74, 0.7003);</t>
  </si>
  <si>
    <t>INSERT INTO tblWMA (WMADistance, WMARoad, WMAWRTime, WMASex, WMAAge, WMAFactor) VALUES (20, 1, 3298, 'M', 75, 0.6895);</t>
  </si>
  <si>
    <t>INSERT INTO tblWMA (WMADistance, WMARoad, WMAWRTime, WMASex, WMAAge, WMAFactor) VALUES (20, 1, 3298, 'M', 76, 0.6779);</t>
  </si>
  <si>
    <t>INSERT INTO tblWMA (WMADistance, WMARoad, WMAWRTime, WMASex, WMAAge, WMAFactor) VALUES (20, 1, 3298, 'M', 77, 0.6658);</t>
  </si>
  <si>
    <t>INSERT INTO tblWMA (WMADistance, WMARoad, WMAWRTime, WMASex, WMAAge, WMAFactor) VALUES (20, 1, 3298, 'M', 78, 0.6529);</t>
  </si>
  <si>
    <t>INSERT INTO tblWMA (WMADistance, WMARoad, WMAWRTime, WMASex, WMAAge, WMAFactor) VALUES (20, 1, 3298, 'M', 79, 0.6393);</t>
  </si>
  <si>
    <t>INSERT INTO tblWMA (WMADistance, WMARoad, WMAWRTime, WMASex, WMAAge, WMAFactor) VALUES (20, 1, 3298, 'M', 80, 0.6251);</t>
  </si>
  <si>
    <t>INSERT INTO tblWMA (WMADistance, WMARoad, WMAWRTime, WMASex, WMAAge, WMAFactor) VALUES (20, 1, 3298, 'M', 81, 0.6102);</t>
  </si>
  <si>
    <t>INSERT INTO tblWMA (WMADistance, WMARoad, WMAWRTime, WMASex, WMAAge, WMAFactor) VALUES (20, 1, 3298, 'M', 82, 0.5946);</t>
  </si>
  <si>
    <t>INSERT INTO tblWMA (WMADistance, WMARoad, WMAWRTime, WMASex, WMAAge, WMAFactor) VALUES (20, 1, 3298, 'M', 83, 0.5783);</t>
  </si>
  <si>
    <t>INSERT INTO tblWMA (WMADistance, WMARoad, WMAWRTime, WMASex, WMAAge, WMAFactor) VALUES (20, 1, 3298, 'M', 84, 0.5614);</t>
  </si>
  <si>
    <t>INSERT INTO tblWMA (WMADistance, WMARoad, WMAWRTime, WMASex, WMAAge, WMAFactor) VALUES (20, 1, 3298, 'M', 85, 0.5437);</t>
  </si>
  <si>
    <t>INSERT INTO tblWMA (WMADistance, WMARoad, WMAWRTime, WMASex, WMAAge, WMAFactor) VALUES (20, 1, 3298, 'M', 86, 0.5254);</t>
  </si>
  <si>
    <t>INSERT INTO tblWMA (WMADistance, WMARoad, WMAWRTime, WMASex, WMAAge, WMAFactor) VALUES (20, 1, 3298, 'M', 87, 0.5064);</t>
  </si>
  <si>
    <t>INSERT INTO tblWMA (WMADistance, WMARoad, WMAWRTime, WMASex, WMAAge, WMAFactor) VALUES (20, 1, 3298, 'M', 88, 0.4867);</t>
  </si>
  <si>
    <t>INSERT INTO tblWMA (WMADistance, WMARoad, WMAWRTime, WMASex, WMAAge, WMAFactor) VALUES (20, 1, 3298, 'M', 89, 0.4664);</t>
  </si>
  <si>
    <t>INSERT INTO tblWMA (WMADistance, WMARoad, WMAWRTime, WMASex, WMAAge, WMAFactor) VALUES (20, 1, 3298, 'M', 90, 0.4453);</t>
  </si>
  <si>
    <t>INSERT INTO tblWMA (WMADistance, WMARoad, WMAWRTime, WMASex, WMAAge, WMAFactor) VALUES (20, 1, 3298, 'M', 91, 0.4236);</t>
  </si>
  <si>
    <t>INSERT INTO tblWMA (WMADistance, WMARoad, WMAWRTime, WMASex, WMAAge, WMAFactor) VALUES (20, 1, 3298, 'M', 92, 0.4012);</t>
  </si>
  <si>
    <t>INSERT INTO tblWMA (WMADistance, WMARoad, WMAWRTime, WMASex, WMAAge, WMAFactor) VALUES (20, 1, 3298, 'M', 93, 0.3781);</t>
  </si>
  <si>
    <t>INSERT INTO tblWMA (WMADistance, WMARoad, WMAWRTime, WMASex, WMAAge, WMAFactor) VALUES (20, 1, 3298, 'M', 94, 0.3544);</t>
  </si>
  <si>
    <t>INSERT INTO tblWMA (WMADistance, WMARoad, WMAWRTime, WMASex, WMAAge, WMAFactor) VALUES (20, 1, 3298, 'M', 95, 0.3299);</t>
  </si>
  <si>
    <t>INSERT INTO tblWMA (WMADistance, WMARoad, WMAWRTime, WMASex, WMAAge, WMAFactor) VALUES (20, 1, 3298, 'M', 96, 0.3048);</t>
  </si>
  <si>
    <t>INSERT INTO tblWMA (WMADistance, WMARoad, WMAWRTime, WMASex, WMAAge, WMAFactor) VALUES (20, 1, 3298, 'M', 97, 0.279);</t>
  </si>
  <si>
    <t>INSERT INTO tblWMA (WMADistance, WMARoad, WMAWRTime, WMASex, WMAAge, WMAFactor) VALUES (20, 1, 3298, 'M', 98, 0.2525);</t>
  </si>
  <si>
    <t>INSERT INTO tblWMA (WMADistance, WMARoad, WMAWRTime, WMASex, WMAAge, WMAFactor) VALUES (20, 1, 3298, 'M', 99, 0.2253);</t>
  </si>
  <si>
    <t>INSERT INTO tblWMA (WMADistance, WMARoad, WMAWRTime, WMASex, WMAAge, WMAFactor) VALUES (20, 1, 3298, 'M', 100, 0.1975);</t>
  </si>
  <si>
    <t>INSERT INTO tblWMA (WMADistance, WMARoad, WMAWRTime, WMASex, WMAAge, WMAFactor) VALUES (21.098, 1, 3481, 'M', 5, 0.6056);</t>
  </si>
  <si>
    <t>INSERT INTO tblWMA (WMADistance, WMARoad, WMAWRTime, WMASex, WMAAge, WMAFactor) VALUES (21.098, 1, 3481, 'M', 6, 0.6596);</t>
  </si>
  <si>
    <t>INSERT INTO tblWMA (WMADistance, WMARoad, WMAWRTime, WMASex, WMAAge, WMAFactor) VALUES (21.098, 1, 3481, 'M', 7, 0.7096);</t>
  </si>
  <si>
    <t>INSERT INTO tblWMA (WMADistance, WMARoad, WMAWRTime, WMASex, WMAAge, WMAFactor) VALUES (21.098, 1, 3481, 'M', 8, 0.7556);</t>
  </si>
  <si>
    <t>INSERT INTO tblWMA (WMADistance, WMARoad, WMAWRTime, WMASex, WMAAge, WMAFactor) VALUES (21.098, 1, 3481, 'M', 9, 0.7976);</t>
  </si>
  <si>
    <t>INSERT INTO tblWMA (WMADistance, WMARoad, WMAWRTime, WMASex, WMAAge, WMAFactor) VALUES (21.098, 1, 3481, 'M', 10, 0.8356);</t>
  </si>
  <si>
    <t>INSERT INTO tblWMA (WMADistance, WMARoad, WMAWRTime, WMASex, WMAAge, WMAFactor) VALUES (21.098, 1, 3481, 'M', 11, 0.8696);</t>
  </si>
  <si>
    <t>INSERT INTO tblWMA (WMADistance, WMARoad, WMAWRTime, WMASex, WMAAge, WMAFactor) VALUES (21.098, 1, 3481, 'M', 12, 0.8996);</t>
  </si>
  <si>
    <t>INSERT INTO tblWMA (WMADistance, WMARoad, WMAWRTime, WMASex, WMAAge, WMAFactor) VALUES (21.098, 1, 3481, 'M', 13, 0.9256);</t>
  </si>
  <si>
    <t>INSERT INTO tblWMA (WMADistance, WMARoad, WMAWRTime, WMASex, WMAAge, WMAFactor) VALUES (21.098, 1, 3481, 'M', 14, 0.9476);</t>
  </si>
  <si>
    <t>INSERT INTO tblWMA (WMADistance, WMARoad, WMAWRTime, WMASex, WMAAge, WMAFactor) VALUES (21.098, 1, 3481, 'M', 15, 0.9656);</t>
  </si>
  <si>
    <t>INSERT INTO tblWMA (WMADistance, WMARoad, WMAWRTime, WMASex, WMAAge, WMAFactor) VALUES (21.098, 1, 3481, 'M', 16, 0.9796);</t>
  </si>
  <si>
    <t>INSERT INTO tblWMA (WMADistance, WMARoad, WMAWRTime, WMASex, WMAAge, WMAFactor) VALUES (21.098, 1, 3481, 'M', 17, 0.9916);</t>
  </si>
  <si>
    <t>INSERT INTO tblWMA (WMADistance, WMARoad, WMAWRTime, WMASex, WMAAge, WMAFactor) VALUES (21.098, 1, 3481, 'M', 18, 0.9993);</t>
  </si>
  <si>
    <t>INSERT INTO tblWMA (WMADistance, WMARoad, WMAWRTime, WMASex, WMAAge, WMAFactor) VALUES (21.098, 1, 3481, 'M', 19, 1);</t>
  </si>
  <si>
    <t>INSERT INTO tblWMA (WMADistance, WMARoad, WMAWRTime, WMASex, WMAAge, WMAFactor) VALUES (21.098, 1, 3481, 'M', 20, 1);</t>
  </si>
  <si>
    <t>INSERT INTO tblWMA (WMADistance, WMARoad, WMAWRTime, WMASex, WMAAge, WMAFactor) VALUES (21.098, 1, 3481, 'M', 21, 1);</t>
  </si>
  <si>
    <t>INSERT INTO tblWMA (WMADistance, WMARoad, WMAWRTime, WMASex, WMAAge, WMAFactor) VALUES (21.098, 1, 3481, 'M', 22, 1);</t>
  </si>
  <si>
    <t>INSERT INTO tblWMA (WMADistance, WMARoad, WMAWRTime, WMASex, WMAAge, WMAFactor) VALUES (21.098, 1, 3481, 'M', 23, 1);</t>
  </si>
  <si>
    <t>INSERT INTO tblWMA (WMADistance, WMARoad, WMAWRTime, WMASex, WMAAge, WMAFactor) VALUES (21.098, 1, 3481, 'M', 24, 1);</t>
  </si>
  <si>
    <t>INSERT INTO tblWMA (WMADistance, WMARoad, WMAWRTime, WMASex, WMAAge, WMAFactor) VALUES (21.098, 1, 3481, 'M', 25, 1);</t>
  </si>
  <si>
    <t>INSERT INTO tblWMA (WMADistance, WMARoad, WMAWRTime, WMASex, WMAAge, WMAFactor) VALUES (21.098, 1, 3481, 'M', 26, 1);</t>
  </si>
  <si>
    <t>INSERT INTO tblWMA (WMADistance, WMARoad, WMAWRTime, WMASex, WMAAge, WMAFactor) VALUES (21.098, 1, 3481, 'M', 27, 1);</t>
  </si>
  <si>
    <t>INSERT INTO tblWMA (WMADistance, WMARoad, WMAWRTime, WMASex, WMAAge, WMAFactor) VALUES (21.098, 1, 3481, 'M', 28, 1);</t>
  </si>
  <si>
    <t>INSERT INTO tblWMA (WMADistance, WMARoad, WMAWRTime, WMASex, WMAAge, WMAFactor) VALUES (21.098, 1, 3481, 'M', 29, 1);</t>
  </si>
  <si>
    <t>INSERT INTO tblWMA (WMADistance, WMARoad, WMAWRTime, WMASex, WMAAge, WMAFactor) VALUES (21.098, 1, 3481, 'M', 30, 1);</t>
  </si>
  <si>
    <t>INSERT INTO tblWMA (WMADistance, WMARoad, WMAWRTime, WMASex, WMAAge, WMAFactor) VALUES (21.098, 1, 3481, 'M', 31, 1);</t>
  </si>
  <si>
    <t>INSERT INTO tblWMA (WMADistance, WMARoad, WMAWRTime, WMASex, WMAAge, WMAFactor) VALUES (21.098, 1, 3481, 'M', 32, 0.9998);</t>
  </si>
  <si>
    <t>INSERT INTO tblWMA (WMADistance, WMARoad, WMAWRTime, WMASex, WMAAge, WMAFactor) VALUES (21.098, 1, 3481, 'M', 33, 0.9988);</t>
  </si>
  <si>
    <t>INSERT INTO tblWMA (WMADistance, WMARoad, WMAWRTime, WMASex, WMAAge, WMAFactor) VALUES (21.098, 1, 3481, 'M', 34, 0.9971);</t>
  </si>
  <si>
    <t>INSERT INTO tblWMA (WMADistance, WMARoad, WMAWRTime, WMASex, WMAAge, WMAFactor) VALUES (21.098, 1, 3481, 'M', 35, 0.9945);</t>
  </si>
  <si>
    <t>INSERT INTO tblWMA (WMADistance, WMARoad, WMAWRTime, WMASex, WMAAge, WMAFactor) VALUES (21.098, 1, 3481, 'M', 36, 0.9911);</t>
  </si>
  <si>
    <t>INSERT INTO tblWMA (WMADistance, WMARoad, WMAWRTime, WMASex, WMAAge, WMAFactor) VALUES (21.098, 1, 3481, 'M', 37, 0.987);</t>
  </si>
  <si>
    <t>INSERT INTO tblWMA (WMADistance, WMARoad, WMAWRTime, WMASex, WMAAge, WMAFactor) VALUES (21.098, 1, 3481, 'M', 38, 0.982);</t>
  </si>
  <si>
    <t>INSERT INTO tblWMA (WMADistance, WMARoad, WMAWRTime, WMASex, WMAAge, WMAFactor) VALUES (21.098, 1, 3481, 'M', 39, 0.9762);</t>
  </si>
  <si>
    <t>INSERT INTO tblWMA (WMADistance, WMARoad, WMAWRTime, WMASex, WMAAge, WMAFactor) VALUES (21.098, 1, 3481, 'M', 40, 0.9696);</t>
  </si>
  <si>
    <t>INSERT INTO tblWMA (WMADistance, WMARoad, WMAWRTime, WMASex, WMAAge, WMAFactor) VALUES (21.098, 1, 3481, 'M', 41, 0.9623);</t>
  </si>
  <si>
    <t>INSERT INTO tblWMA (WMADistance, WMARoad, WMAWRTime, WMASex, WMAAge, WMAFactor) VALUES (21.098, 1, 3481, 'M', 42, 0.9545);</t>
  </si>
  <si>
    <t>INSERT INTO tblWMA (WMADistance, WMARoad, WMAWRTime, WMASex, WMAAge, WMAFactor) VALUES (21.098, 1, 3481, 'M', 43, 0.9467);</t>
  </si>
  <si>
    <t>INSERT INTO tblWMA (WMADistance, WMARoad, WMAWRTime, WMASex, WMAAge, WMAFactor) VALUES (21.098, 1, 3481, 'M', 44, 0.9389);</t>
  </si>
  <si>
    <t>INSERT INTO tblWMA (WMADistance, WMARoad, WMAWRTime, WMASex, WMAAge, WMAFactor) VALUES (21.098, 1, 3481, 'M', 45, 0.9311);</t>
  </si>
  <si>
    <t>INSERT INTO tblWMA (WMADistance, WMARoad, WMAWRTime, WMASex, WMAAge, WMAFactor) VALUES (21.098, 1, 3481, 'M', 46, 0.9234);</t>
  </si>
  <si>
    <t>INSERT INTO tblWMA (WMADistance, WMARoad, WMAWRTime, WMASex, WMAAge, WMAFactor) VALUES (21.098, 1, 3481, 'M', 47, 0.9156);</t>
  </si>
  <si>
    <t>INSERT INTO tblWMA (WMADistance, WMARoad, WMAWRTime, WMASex, WMAAge, WMAFactor) VALUES (21.098, 1, 3481, 'M', 48, 0.9078);</t>
  </si>
  <si>
    <t>INSERT INTO tblWMA (WMADistance, WMARoad, WMAWRTime, WMASex, WMAAge, WMAFactor) VALUES (21.098, 1, 3481, 'M', 49, 0.9);</t>
  </si>
  <si>
    <t>INSERT INTO tblWMA (WMADistance, WMARoad, WMAWRTime, WMASex, WMAAge, WMAFactor) VALUES (21.098, 1, 3481, 'M', 50, 0.8922);</t>
  </si>
  <si>
    <t>INSERT INTO tblWMA (WMADistance, WMARoad, WMAWRTime, WMASex, WMAAge, WMAFactor) VALUES (21.098, 1, 3481, 'M', 51, 0.8845);</t>
  </si>
  <si>
    <t>INSERT INTO tblWMA (WMADistance, WMARoad, WMAWRTime, WMASex, WMAAge, WMAFactor) VALUES (21.098, 1, 3481, 'M', 52, 0.8767);</t>
  </si>
  <si>
    <t>INSERT INTO tblWMA (WMADistance, WMARoad, WMAWRTime, WMASex, WMAAge, WMAFactor) VALUES (21.098, 1, 3481, 'M', 53, 0.8689);</t>
  </si>
  <si>
    <t>INSERT INTO tblWMA (WMADistance, WMARoad, WMAWRTime, WMASex, WMAAge, WMAFactor) VALUES (21.098, 1, 3481, 'M', 54, 0.8611);</t>
  </si>
  <si>
    <t>INSERT INTO tblWMA (WMADistance, WMARoad, WMAWRTime, WMASex, WMAAge, WMAFactor) VALUES (21.098, 1, 3481, 'M', 55, 0.8533);</t>
  </si>
  <si>
    <t>INSERT INTO tblWMA (WMADistance, WMARoad, WMAWRTime, WMASex, WMAAge, WMAFactor) VALUES (21.098, 1, 3481, 'M', 56, 0.8456);</t>
  </si>
  <si>
    <t>INSERT INTO tblWMA (WMADistance, WMARoad, WMAWRTime, WMASex, WMAAge, WMAFactor) VALUES (21.098, 1, 3481, 'M', 57, 0.8378);</t>
  </si>
  <si>
    <t>INSERT INTO tblWMA (WMADistance, WMARoad, WMAWRTime, WMASex, WMAAge, WMAFactor) VALUES (21.098, 1, 3481, 'M', 58, 0.83);</t>
  </si>
  <si>
    <t>INSERT INTO tblWMA (WMADistance, WMARoad, WMAWRTime, WMASex, WMAAge, WMAFactor) VALUES (21.098, 1, 3481, 'M', 59, 0.8222);</t>
  </si>
  <si>
    <t>INSERT INTO tblWMA (WMADistance, WMARoad, WMAWRTime, WMASex, WMAAge, WMAFactor) VALUES (21.098, 1, 3481, 'M', 60, 0.8144);</t>
  </si>
  <si>
    <t>INSERT INTO tblWMA (WMADistance, WMARoad, WMAWRTime, WMASex, WMAAge, WMAFactor) VALUES (21.098, 1, 3481, 'M', 61, 0.8067);</t>
  </si>
  <si>
    <t>INSERT INTO tblWMA (WMADistance, WMARoad, WMAWRTime, WMASex, WMAAge, WMAFactor) VALUES (21.098, 1, 3481, 'M', 62, 0.7989);</t>
  </si>
  <si>
    <t>INSERT INTO tblWMA (WMADistance, WMARoad, WMAWRTime, WMASex, WMAAge, WMAFactor) VALUES (21.098, 1, 3481, 'M', 63, 0.7911);</t>
  </si>
  <si>
    <t>INSERT INTO tblWMA (WMADistance, WMARoad, WMAWRTime, WMASex, WMAAge, WMAFactor) VALUES (21.098, 1, 3481, 'M', 64, 0.7833);</t>
  </si>
  <si>
    <t>INSERT INTO tblWMA (WMADistance, WMARoad, WMAWRTime, WMASex, WMAAge, WMAFactor) VALUES (21.098, 1, 3481, 'M', 65, 0.7755);</t>
  </si>
  <si>
    <t>INSERT INTO tblWMA (WMADistance, WMARoad, WMAWRTime, WMASex, WMAAge, WMAFactor) VALUES (21.098, 1, 3481, 'M', 66, 0.7678);</t>
  </si>
  <si>
    <t>INSERT INTO tblWMA (WMADistance, WMARoad, WMAWRTime, WMASex, WMAAge, WMAFactor) VALUES (21.098, 1, 3481, 'M', 67, 0.76);</t>
  </si>
  <si>
    <t>INSERT INTO tblWMA (WMADistance, WMARoad, WMAWRTime, WMASex, WMAAge, WMAFactor) VALUES (21.098, 1, 3481, 'M', 68, 0.7522);</t>
  </si>
  <si>
    <t>INSERT INTO tblWMA (WMADistance, WMARoad, WMAWRTime, WMASex, WMAAge, WMAFactor) VALUES (21.098, 1, 3481, 'M', 69, 0.7444);</t>
  </si>
  <si>
    <t>INSERT INTO tblWMA (WMADistance, WMARoad, WMAWRTime, WMASex, WMAAge, WMAFactor) VALUES (21.098, 1, 3481, 'M', 70, 0.7366);</t>
  </si>
  <si>
    <t>INSERT INTO tblWMA (WMADistance, WMARoad, WMAWRTime, WMASex, WMAAge, WMAFactor) VALUES (21.098, 1, 3481, 'M', 71, 0.7285);</t>
  </si>
  <si>
    <t>INSERT INTO tblWMA (WMADistance, WMARoad, WMAWRTime, WMASex, WMAAge, WMAFactor) VALUES (21.098, 1, 3481, 'M', 72, 0.7197);</t>
  </si>
  <si>
    <t>INSERT INTO tblWMA (WMADistance, WMARoad, WMAWRTime, WMASex, WMAAge, WMAFactor) VALUES (21.098, 1, 3481, 'M', 73, 0.7102);</t>
  </si>
  <si>
    <t>INSERT INTO tblWMA (WMADistance, WMARoad, WMAWRTime, WMASex, WMAAge, WMAFactor) VALUES (21.098, 1, 3481, 'M', 74, 0.7001);</t>
  </si>
  <si>
    <t>INSERT INTO tblWMA (WMADistance, WMARoad, WMAWRTime, WMASex, WMAAge, WMAFactor) VALUES (21.098, 1, 3481, 'M', 75, 0.6892);</t>
  </si>
  <si>
    <t>INSERT INTO tblWMA (WMADistance, WMARoad, WMAWRTime, WMASex, WMAAge, WMAFactor) VALUES (21.098, 1, 3481, 'M', 76, 0.6777);</t>
  </si>
  <si>
    <t>INSERT INTO tblWMA (WMADistance, WMARoad, WMAWRTime, WMASex, WMAAge, WMAFactor) VALUES (21.098, 1, 3481, 'M', 77, 0.6655);</t>
  </si>
  <si>
    <t>INSERT INTO tblWMA (WMADistance, WMARoad, WMAWRTime, WMASex, WMAAge, WMAFactor) VALUES (21.098, 1, 3481, 'M', 78, 0.6526);</t>
  </si>
  <si>
    <t>INSERT INTO tblWMA (WMADistance, WMARoad, WMAWRTime, WMASex, WMAAge, WMAFactor) VALUES (21.098, 1, 3481, 'M', 79, 0.639);</t>
  </si>
  <si>
    <t>INSERT INTO tblWMA (WMADistance, WMARoad, WMAWRTime, WMASex, WMAAge, WMAFactor) VALUES (21.098, 1, 3481, 'M', 80, 0.6247);</t>
  </si>
  <si>
    <t>INSERT INTO tblWMA (WMADistance, WMARoad, WMAWRTime, WMASex, WMAAge, WMAFactor) VALUES (21.098, 1, 3481, 'M', 81, 0.6098);</t>
  </si>
  <si>
    <t>INSERT INTO tblWMA (WMADistance, WMARoad, WMAWRTime, WMASex, WMAAge, WMAFactor) VALUES (21.098, 1, 3481, 'M', 82, 0.5942);</t>
  </si>
  <si>
    <t>INSERT INTO tblWMA (WMADistance, WMARoad, WMAWRTime, WMASex, WMAAge, WMAFactor) VALUES (21.098, 1, 3481, 'M', 83, 0.5779);</t>
  </si>
  <si>
    <t>INSERT INTO tblWMA (WMADistance, WMARoad, WMAWRTime, WMASex, WMAAge, WMAFactor) VALUES (21.098, 1, 3481, 'M', 84, 0.5609);</t>
  </si>
  <si>
    <t>INSERT INTO tblWMA (WMADistance, WMARoad, WMAWRTime, WMASex, WMAAge, WMAFactor) VALUES (21.098, 1, 3481, 'M', 85, 0.5432);</t>
  </si>
  <si>
    <t>INSERT INTO tblWMA (WMADistance, WMARoad, WMAWRTime, WMASex, WMAAge, WMAFactor) VALUES (21.098, 1, 3481, 'M', 86, 0.5249);</t>
  </si>
  <si>
    <t>INSERT INTO tblWMA (WMADistance, WMARoad, WMAWRTime, WMASex, WMAAge, WMAFactor) VALUES (21.098, 1, 3481, 'M', 87, 0.5058);</t>
  </si>
  <si>
    <t>INSERT INTO tblWMA (WMADistance, WMARoad, WMAWRTime, WMASex, WMAAge, WMAFactor) VALUES (21.098, 1, 3481, 'M', 88, 0.4861);</t>
  </si>
  <si>
    <t>INSERT INTO tblWMA (WMADistance, WMARoad, WMAWRTime, WMASex, WMAAge, WMAFactor) VALUES (21.098, 1, 3481, 'M', 89, 0.4657);</t>
  </si>
  <si>
    <t>INSERT INTO tblWMA (WMADistance, WMARoad, WMAWRTime, WMASex, WMAAge, WMAFactor) VALUES (21.098, 1, 3481, 'M', 90, 0.4446);</t>
  </si>
  <si>
    <t>INSERT INTO tblWMA (WMADistance, WMARoad, WMAWRTime, WMASex, WMAAge, WMAFactor) VALUES (21.098, 1, 3481, 'M', 91, 0.4229);</t>
  </si>
  <si>
    <t>INSERT INTO tblWMA (WMADistance, WMARoad, WMAWRTime, WMASex, WMAAge, WMAFactor) VALUES (21.098, 1, 3481, 'M', 92, 0.4004);</t>
  </si>
  <si>
    <t>INSERT INTO tblWMA (WMADistance, WMARoad, WMAWRTime, WMASex, WMAAge, WMAFactor) VALUES (21.098, 1, 3481, 'M', 93, 0.3773);</t>
  </si>
  <si>
    <t>INSERT INTO tblWMA (WMADistance, WMARoad, WMAWRTime, WMASex, WMAAge, WMAFactor) VALUES (21.098, 1, 3481, 'M', 94, 0.3535);</t>
  </si>
  <si>
    <t>INSERT INTO tblWMA (WMADistance, WMARoad, WMAWRTime, WMASex, WMAAge, WMAFactor) VALUES (21.098, 1, 3481, 'M', 95, 0.329);</t>
  </si>
  <si>
    <t>INSERT INTO tblWMA (WMADistance, WMARoad, WMAWRTime, WMASex, WMAAge, WMAFactor) VALUES (21.098, 1, 3481, 'M', 96, 0.3039);</t>
  </si>
  <si>
    <t>INSERT INTO tblWMA (WMADistance, WMARoad, WMAWRTime, WMASex, WMAAge, WMAFactor) VALUES (21.098, 1, 3481, 'M', 97, 0.278);</t>
  </si>
  <si>
    <t>INSERT INTO tblWMA (WMADistance, WMARoad, WMAWRTime, WMASex, WMAAge, WMAFactor) VALUES (21.098, 1, 3481, 'M', 98, 0.2515);</t>
  </si>
  <si>
    <t>INSERT INTO tblWMA (WMADistance, WMARoad, WMAWRTime, WMASex, WMAAge, WMAFactor) VALUES (21.098, 1, 3481, 'M', 99, 0.2242);</t>
  </si>
  <si>
    <t>INSERT INTO tblWMA (WMADistance, WMARoad, WMAWRTime, WMASex, WMAAge, WMAFactor) VALUES (21.098, 1, 3481, 'M', 100, 0.1963);</t>
  </si>
  <si>
    <t>INSERT INTO tblWMA (WMADistance, WMARoad, WMAWRTime, WMASex, WMAAge, WMAFactor) VALUES (25, 1, 4170, 'M', 5, 0.6056);</t>
  </si>
  <si>
    <t>INSERT INTO tblWMA (WMADistance, WMARoad, WMAWRTime, WMASex, WMAAge, WMAFactor) VALUES (25, 1, 4170, 'M', 6, 0.6596);</t>
  </si>
  <si>
    <t>INSERT INTO tblWMA (WMADistance, WMARoad, WMAWRTime, WMASex, WMAAge, WMAFactor) VALUES (25, 1, 4170, 'M', 7, 0.7096);</t>
  </si>
  <si>
    <t>INSERT INTO tblWMA (WMADistance, WMARoad, WMAWRTime, WMASex, WMAAge, WMAFactor) VALUES (25, 1, 4170, 'M', 8, 0.7556);</t>
  </si>
  <si>
    <t>INSERT INTO tblWMA (WMADistance, WMARoad, WMAWRTime, WMASex, WMAAge, WMAFactor) VALUES (25, 1, 4170, 'M', 9, 0.7976);</t>
  </si>
  <si>
    <t>INSERT INTO tblWMA (WMADistance, WMARoad, WMAWRTime, WMASex, WMAAge, WMAFactor) VALUES (25, 1, 4170, 'M', 10, 0.8356);</t>
  </si>
  <si>
    <t>INSERT INTO tblWMA (WMADistance, WMARoad, WMAWRTime, WMASex, WMAAge, WMAFactor) VALUES (25, 1, 4170, 'M', 11, 0.8696);</t>
  </si>
  <si>
    <t>INSERT INTO tblWMA (WMADistance, WMARoad, WMAWRTime, WMASex, WMAAge, WMAFactor) VALUES (25, 1, 4170, 'M', 12, 0.8996);</t>
  </si>
  <si>
    <t>INSERT INTO tblWMA (WMADistance, WMARoad, WMAWRTime, WMASex, WMAAge, WMAFactor) VALUES (25, 1, 4170, 'M', 13, 0.9256);</t>
  </si>
  <si>
    <t>INSERT INTO tblWMA (WMADistance, WMARoad, WMAWRTime, WMASex, WMAAge, WMAFactor) VALUES (25, 1, 4170, 'M', 14, 0.9476);</t>
  </si>
  <si>
    <t>INSERT INTO tblWMA (WMADistance, WMARoad, WMAWRTime, WMASex, WMAAge, WMAFactor) VALUES (25, 1, 4170, 'M', 15, 0.9656);</t>
  </si>
  <si>
    <t>INSERT INTO tblWMA (WMADistance, WMARoad, WMAWRTime, WMASex, WMAAge, WMAFactor) VALUES (25, 1, 4170, 'M', 16, 0.9796);</t>
  </si>
  <si>
    <t>INSERT INTO tblWMA (WMADistance, WMARoad, WMAWRTime, WMASex, WMAAge, WMAFactor) VALUES (25, 1, 4170, 'M', 17, 0.9916);</t>
  </si>
  <si>
    <t>INSERT INTO tblWMA (WMADistance, WMARoad, WMAWRTime, WMASex, WMAAge, WMAFactor) VALUES (25, 1, 4170, 'M', 18, 0.9993);</t>
  </si>
  <si>
    <t>INSERT INTO tblWMA (WMADistance, WMARoad, WMAWRTime, WMASex, WMAAge, WMAFactor) VALUES (25, 1, 4170, 'M', 19, 1);</t>
  </si>
  <si>
    <t>INSERT INTO tblWMA (WMADistance, WMARoad, WMAWRTime, WMASex, WMAAge, WMAFactor) VALUES (25, 1, 4170, 'M', 20, 1);</t>
  </si>
  <si>
    <t>INSERT INTO tblWMA (WMADistance, WMARoad, WMAWRTime, WMASex, WMAAge, WMAFactor) VALUES (25, 1, 4170, 'M', 21, 1);</t>
  </si>
  <si>
    <t>INSERT INTO tblWMA (WMADistance, WMARoad, WMAWRTime, WMASex, WMAAge, WMAFactor) VALUES (25, 1, 4170, 'M', 22, 1);</t>
  </si>
  <si>
    <t>INSERT INTO tblWMA (WMADistance, WMARoad, WMAWRTime, WMASex, WMAAge, WMAFactor) VALUES (25, 1, 4170, 'M', 23, 1);</t>
  </si>
  <si>
    <t>INSERT INTO tblWMA (WMADistance, WMARoad, WMAWRTime, WMASex, WMAAge, WMAFactor) VALUES (25, 1, 4170, 'M', 24, 1);</t>
  </si>
  <si>
    <t>INSERT INTO tblWMA (WMADistance, WMARoad, WMAWRTime, WMASex, WMAAge, WMAFactor) VALUES (25, 1, 4170, 'M', 25, 1);</t>
  </si>
  <si>
    <t>INSERT INTO tblWMA (WMADistance, WMARoad, WMAWRTime, WMASex, WMAAge, WMAFactor) VALUES (25, 1, 4170, 'M', 26, 1);</t>
  </si>
  <si>
    <t>INSERT INTO tblWMA (WMADistance, WMARoad, WMAWRTime, WMASex, WMAAge, WMAFactor) VALUES (25, 1, 4170, 'M', 27, 1);</t>
  </si>
  <si>
    <t>INSERT INTO tblWMA (WMADistance, WMARoad, WMAWRTime, WMASex, WMAAge, WMAFactor) VALUES (25, 1, 4170, 'M', 28, 1);</t>
  </si>
  <si>
    <t>INSERT INTO tblWMA (WMADistance, WMARoad, WMAWRTime, WMASex, WMAAge, WMAFactor) VALUES (25, 1, 4170, 'M', 29, 1);</t>
  </si>
  <si>
    <t>INSERT INTO tblWMA (WMADistance, WMARoad, WMAWRTime, WMASex, WMAAge, WMAFactor) VALUES (25, 1, 4170, 'M', 30, 1);</t>
  </si>
  <si>
    <t>INSERT INTO tblWMA (WMADistance, WMARoad, WMAWRTime, WMASex, WMAAge, WMAFactor) VALUES (25, 1, 4170, 'M', 31, 1);</t>
  </si>
  <si>
    <t>INSERT INTO tblWMA (WMADistance, WMARoad, WMAWRTime, WMASex, WMAAge, WMAFactor) VALUES (25, 1, 4170, 'M', 32, 0.9998);</t>
  </si>
  <si>
    <t>INSERT INTO tblWMA (WMADistance, WMARoad, WMAWRTime, WMASex, WMAAge, WMAFactor) VALUES (25, 1, 4170, 'M', 33, 0.9988);</t>
  </si>
  <si>
    <t>INSERT INTO tblWMA (WMADistance, WMARoad, WMAWRTime, WMASex, WMAAge, WMAFactor) VALUES (25, 1, 4170, 'M', 34, 0.9971);</t>
  </si>
  <si>
    <t>INSERT INTO tblWMA (WMADistance, WMARoad, WMAWRTime, WMASex, WMAAge, WMAFactor) VALUES (25, 1, 4170, 'M', 35, 0.9945);</t>
  </si>
  <si>
    <t>INSERT INTO tblWMA (WMADistance, WMARoad, WMAWRTime, WMASex, WMAAge, WMAFactor) VALUES (25, 1, 4170, 'M', 36, 0.9911);</t>
  </si>
  <si>
    <t>INSERT INTO tblWMA (WMADistance, WMARoad, WMAWRTime, WMASex, WMAAge, WMAFactor) VALUES (25, 1, 4170, 'M', 37, 0.987);</t>
  </si>
  <si>
    <t>INSERT INTO tblWMA (WMADistance, WMARoad, WMAWRTime, WMASex, WMAAge, WMAFactor) VALUES (25, 1, 4170, 'M', 38, 0.982);</t>
  </si>
  <si>
    <t>INSERT INTO tblWMA (WMADistance, WMARoad, WMAWRTime, WMASex, WMAAge, WMAFactor) VALUES (25, 1, 4170, 'M', 39, 0.9762);</t>
  </si>
  <si>
    <t>INSERT INTO tblWMA (WMADistance, WMARoad, WMAWRTime, WMASex, WMAAge, WMAFactor) VALUES (25, 1, 4170, 'M', 40, 0.9696);</t>
  </si>
  <si>
    <t>INSERT INTO tblWMA (WMADistance, WMARoad, WMAWRTime, WMASex, WMAAge, WMAFactor) VALUES (25, 1, 4170, 'M', 41, 0.9623);</t>
  </si>
  <si>
    <t>INSERT INTO tblWMA (WMADistance, WMARoad, WMAWRTime, WMASex, WMAAge, WMAFactor) VALUES (25, 1, 4170, 'M', 42, 0.9545);</t>
  </si>
  <si>
    <t>INSERT INTO tblWMA (WMADistance, WMARoad, WMAWRTime, WMASex, WMAAge, WMAFactor) VALUES (25, 1, 4170, 'M', 43, 0.9467);</t>
  </si>
  <si>
    <t>INSERT INTO tblWMA (WMADistance, WMARoad, WMAWRTime, WMASex, WMAAge, WMAFactor) VALUES (25, 1, 4170, 'M', 44, 0.9389);</t>
  </si>
  <si>
    <t>INSERT INTO tblWMA (WMADistance, WMARoad, WMAWRTime, WMASex, WMAAge, WMAFactor) VALUES (25, 1, 4170, 'M', 45, 0.9311);</t>
  </si>
  <si>
    <t>INSERT INTO tblWMA (WMADistance, WMARoad, WMAWRTime, WMASex, WMAAge, WMAFactor) VALUES (25, 1, 4170, 'M', 46, 0.9234);</t>
  </si>
  <si>
    <t>INSERT INTO tblWMA (WMADistance, WMARoad, WMAWRTime, WMASex, WMAAge, WMAFactor) VALUES (25, 1, 4170, 'M', 47, 0.9156);</t>
  </si>
  <si>
    <t>INSERT INTO tblWMA (WMADistance, WMARoad, WMAWRTime, WMASex, WMAAge, WMAFactor) VALUES (25, 1, 4170, 'M', 48, 0.9078);</t>
  </si>
  <si>
    <t>INSERT INTO tblWMA (WMADistance, WMARoad, WMAWRTime, WMASex, WMAAge, WMAFactor) VALUES (25, 1, 4170, 'M', 49, 0.9);</t>
  </si>
  <si>
    <t>INSERT INTO tblWMA (WMADistance, WMARoad, WMAWRTime, WMASex, WMAAge, WMAFactor) VALUES (25, 1, 4170, 'M', 50, 0.8922);</t>
  </si>
  <si>
    <t>INSERT INTO tblWMA (WMADistance, WMARoad, WMAWRTime, WMASex, WMAAge, WMAFactor) VALUES (25, 1, 4170, 'M', 51, 0.8845);</t>
  </si>
  <si>
    <t>INSERT INTO tblWMA (WMADistance, WMARoad, WMAWRTime, WMASex, WMAAge, WMAFactor) VALUES (25, 1, 4170, 'M', 52, 0.8767);</t>
  </si>
  <si>
    <t>INSERT INTO tblWMA (WMADistance, WMARoad, WMAWRTime, WMASex, WMAAge, WMAFactor) VALUES (25, 1, 4170, 'M', 53, 0.8689);</t>
  </si>
  <si>
    <t>INSERT INTO tblWMA (WMADistance, WMARoad, WMAWRTime, WMASex, WMAAge, WMAFactor) VALUES (25, 1, 4170, 'M', 54, 0.8611);</t>
  </si>
  <si>
    <t>INSERT INTO tblWMA (WMADistance, WMARoad, WMAWRTime, WMASex, WMAAge, WMAFactor) VALUES (25, 1, 4170, 'M', 55, 0.8533);</t>
  </si>
  <si>
    <t>INSERT INTO tblWMA (WMADistance, WMARoad, WMAWRTime, WMASex, WMAAge, WMAFactor) VALUES (25, 1, 4170, 'M', 56, 0.8456);</t>
  </si>
  <si>
    <t>INSERT INTO tblWMA (WMADistance, WMARoad, WMAWRTime, WMASex, WMAAge, WMAFactor) VALUES (25, 1, 4170, 'M', 57, 0.8378);</t>
  </si>
  <si>
    <t>INSERT INTO tblWMA (WMADistance, WMARoad, WMAWRTime, WMASex, WMAAge, WMAFactor) VALUES (25, 1, 4170, 'M', 58, 0.83);</t>
  </si>
  <si>
    <t>INSERT INTO tblWMA (WMADistance, WMARoad, WMAWRTime, WMASex, WMAAge, WMAFactor) VALUES (25, 1, 4170, 'M', 59, 0.8222);</t>
  </si>
  <si>
    <t>INSERT INTO tblWMA (WMADistance, WMARoad, WMAWRTime, WMASex, WMAAge, WMAFactor) VALUES (25, 1, 4170, 'M', 60, 0.8144);</t>
  </si>
  <si>
    <t>INSERT INTO tblWMA (WMADistance, WMARoad, WMAWRTime, WMASex, WMAAge, WMAFactor) VALUES (25, 1, 4170, 'M', 61, 0.8067);</t>
  </si>
  <si>
    <t>INSERT INTO tblWMA (WMADistance, WMARoad, WMAWRTime, WMASex, WMAAge, WMAFactor) VALUES (25, 1, 4170, 'M', 62, 0.7989);</t>
  </si>
  <si>
    <t>INSERT INTO tblWMA (WMADistance, WMARoad, WMAWRTime, WMASex, WMAAge, WMAFactor) VALUES (25, 1, 4170, 'M', 63, 0.7911);</t>
  </si>
  <si>
    <t>INSERT INTO tblWMA (WMADistance, WMARoad, WMAWRTime, WMASex, WMAAge, WMAFactor) VALUES (25, 1, 4170, 'M', 64, 0.7833);</t>
  </si>
  <si>
    <t>INSERT INTO tblWMA (WMADistance, WMARoad, WMAWRTime, WMASex, WMAAge, WMAFactor) VALUES (25, 1, 4170, 'M', 65, 0.7755);</t>
  </si>
  <si>
    <t>INSERT INTO tblWMA (WMADistance, WMARoad, WMAWRTime, WMASex, WMAAge, WMAFactor) VALUES (25, 1, 4170, 'M', 66, 0.7678);</t>
  </si>
  <si>
    <t>INSERT INTO tblWMA (WMADistance, WMARoad, WMAWRTime, WMASex, WMAAge, WMAFactor) VALUES (25, 1, 4170, 'M', 67, 0.76);</t>
  </si>
  <si>
    <t>INSERT INTO tblWMA (WMADistance, WMARoad, WMAWRTime, WMASex, WMAAge, WMAFactor) VALUES (25, 1, 4170, 'M', 68, 0.7522);</t>
  </si>
  <si>
    <t>INSERT INTO tblWMA (WMADistance, WMARoad, WMAWRTime, WMASex, WMAAge, WMAFactor) VALUES (25, 1, 4170, 'M', 69, 0.7444);</t>
  </si>
  <si>
    <t>INSERT INTO tblWMA (WMADistance, WMARoad, WMAWRTime, WMASex, WMAAge, WMAFactor) VALUES (25, 1, 4170, 'M', 70, 0.7366);</t>
  </si>
  <si>
    <t>INSERT INTO tblWMA (WMADistance, WMARoad, WMAWRTime, WMASex, WMAAge, WMAFactor) VALUES (25, 1, 4170, 'M', 71, 0.7285);</t>
  </si>
  <si>
    <t>INSERT INTO tblWMA (WMADistance, WMARoad, WMAWRTime, WMASex, WMAAge, WMAFactor) VALUES (25, 1, 4170, 'M', 72, 0.7197);</t>
  </si>
  <si>
    <t>INSERT INTO tblWMA (WMADistance, WMARoad, WMAWRTime, WMASex, WMAAge, WMAFactor) VALUES (25, 1, 4170, 'M', 73, 0.7102);</t>
  </si>
  <si>
    <t>INSERT INTO tblWMA (WMADistance, WMARoad, WMAWRTime, WMASex, WMAAge, WMAFactor) VALUES (25, 1, 4170, 'M', 74, 0.6999);</t>
  </si>
  <si>
    <t>INSERT INTO tblWMA (WMADistance, WMARoad, WMAWRTime, WMASex, WMAAge, WMAFactor) VALUES (25, 1, 4170, 'M', 75, 0.689);</t>
  </si>
  <si>
    <t>INSERT INTO tblWMA (WMADistance, WMARoad, WMAWRTime, WMASex, WMAAge, WMAFactor) VALUES (25, 1, 4170, 'M', 76, 0.6774);</t>
  </si>
  <si>
    <t>INSERT INTO tblWMA (WMADistance, WMARoad, WMAWRTime, WMASex, WMAAge, WMAFactor) VALUES (25, 1, 4170, 'M', 77, 0.665);</t>
  </si>
  <si>
    <t>INSERT INTO tblWMA (WMADistance, WMARoad, WMAWRTime, WMASex, WMAAge, WMAFactor) VALUES (25, 1, 4170, 'M', 78, 0.652);</t>
  </si>
  <si>
    <t>INSERT INTO tblWMA (WMADistance, WMARoad, WMAWRTime, WMASex, WMAAge, WMAFactor) VALUES (25, 1, 4170, 'M', 79, 0.6383);</t>
  </si>
  <si>
    <t>INSERT INTO tblWMA (WMADistance, WMARoad, WMAWRTime, WMASex, WMAAge, WMAFactor) VALUES (25, 1, 4170, 'M', 80, 0.6238);</t>
  </si>
  <si>
    <t>INSERT INTO tblWMA (WMADistance, WMARoad, WMAWRTime, WMASex, WMAAge, WMAFactor) VALUES (25, 1, 4170, 'M', 81, 0.6087);</t>
  </si>
  <si>
    <t>INSERT INTO tblWMA (WMADistance, WMARoad, WMAWRTime, WMASex, WMAAge, WMAFactor) VALUES (25, 1, 4170, 'M', 82, 0.5929);</t>
  </si>
  <si>
    <t>INSERT INTO tblWMA (WMADistance, WMARoad, WMAWRTime, WMASex, WMAAge, WMAFactor) VALUES (25, 1, 4170, 'M', 83, 0.5764);</t>
  </si>
  <si>
    <t>INSERT INTO tblWMA (WMADistance, WMARoad, WMAWRTime, WMASex, WMAAge, WMAFactor) VALUES (25, 1, 4170, 'M', 84, 0.5591);</t>
  </si>
  <si>
    <t>INSERT INTO tblWMA (WMADistance, WMARoad, WMAWRTime, WMASex, WMAAge, WMAFactor) VALUES (25, 1, 4170, 'M', 85, 0.5412);</t>
  </si>
  <si>
    <t>INSERT INTO tblWMA (WMADistance, WMARoad, WMAWRTime, WMASex, WMAAge, WMAFactor) VALUES (25, 1, 4170, 'M', 86, 0.5226);</t>
  </si>
  <si>
    <t>INSERT INTO tblWMA (WMADistance, WMARoad, WMAWRTime, WMASex, WMAAge, WMAFactor) VALUES (25, 1, 4170, 'M', 87, 0.5032);</t>
  </si>
  <si>
    <t>INSERT INTO tblWMA (WMADistance, WMARoad, WMAWRTime, WMASex, WMAAge, WMAFactor) VALUES (25, 1, 4170, 'M', 88, 0.4832);</t>
  </si>
  <si>
    <t>INSERT INTO tblWMA (WMADistance, WMARoad, WMAWRTime, WMASex, WMAAge, WMAFactor) VALUES (25, 1, 4170, 'M', 89, 0.4625);</t>
  </si>
  <si>
    <t>INSERT INTO tblWMA (WMADistance, WMARoad, WMAWRTime, WMASex, WMAAge, WMAFactor) VALUES (25, 1, 4170, 'M', 90, 0.441);</t>
  </si>
  <si>
    <t>INSERT INTO tblWMA (WMADistance, WMARoad, WMAWRTime, WMASex, WMAAge, WMAFactor) VALUES (25, 1, 4170, 'M', 91, 0.4189);</t>
  </si>
  <si>
    <t>INSERT INTO tblWMA (WMADistance, WMARoad, WMAWRTime, WMASex, WMAAge, WMAFactor) VALUES (25, 1, 4170, 'M', 92, 0.3961);</t>
  </si>
  <si>
    <t>INSERT INTO tblWMA (WMADistance, WMARoad, WMAWRTime, WMASex, WMAAge, WMAFactor) VALUES (25, 1, 4170, 'M', 93, 0.3726);</t>
  </si>
  <si>
    <t>INSERT INTO tblWMA (WMADistance, WMARoad, WMAWRTime, WMASex, WMAAge, WMAFactor) VALUES (25, 1, 4170, 'M', 94, 0.3483);</t>
  </si>
  <si>
    <t>INSERT INTO tblWMA (WMADistance, WMARoad, WMAWRTime, WMASex, WMAAge, WMAFactor) VALUES (25, 1, 4170, 'M', 95, 0.3234);</t>
  </si>
  <si>
    <t>INSERT INTO tblWMA (WMADistance, WMARoad, WMAWRTime, WMASex, WMAAge, WMAFactor) VALUES (25, 1, 4170, 'M', 96, 0.2978);</t>
  </si>
  <si>
    <t>INSERT INTO tblWMA (WMADistance, WMARoad, WMAWRTime, WMASex, WMAAge, WMAFactor) VALUES (25, 1, 4170, 'M', 97, 0.2714);</t>
  </si>
  <si>
    <t>INSERT INTO tblWMA (WMADistance, WMARoad, WMAWRTime, WMASex, WMAAge, WMAFactor) VALUES (25, 1, 4170, 'M', 98, 0.2444);</t>
  </si>
  <si>
    <t>INSERT INTO tblWMA (WMADistance, WMARoad, WMAWRTime, WMASex, WMAAge, WMAFactor) VALUES (25, 1, 4170, 'M', 99, 0.2167);</t>
  </si>
  <si>
    <t>INSERT INTO tblWMA (WMADistance, WMARoad, WMAWRTime, WMASex, WMAAge, WMAFactor) VALUES (25, 1, 4170, 'M', 100, 0.1882);</t>
  </si>
  <si>
    <t>INSERT INTO tblWMA (WMADistance, WMARoad, WMAWRTime, WMASex, WMAAge, WMAFactor) VALUES (30, 1, 5070, 'M', 5, 0.6056);</t>
  </si>
  <si>
    <t>INSERT INTO tblWMA (WMADistance, WMARoad, WMAWRTime, WMASex, WMAAge, WMAFactor) VALUES (30, 1, 5070, 'M', 6, 0.6596);</t>
  </si>
  <si>
    <t>INSERT INTO tblWMA (WMADistance, WMARoad, WMAWRTime, WMASex, WMAAge, WMAFactor) VALUES (30, 1, 5070, 'M', 7, 0.7096);</t>
  </si>
  <si>
    <t>INSERT INTO tblWMA (WMADistance, WMARoad, WMAWRTime, WMASex, WMAAge, WMAFactor) VALUES (30, 1, 5070, 'M', 8, 0.7556);</t>
  </si>
  <si>
    <t>INSERT INTO tblWMA (WMADistance, WMARoad, WMAWRTime, WMASex, WMAAge, WMAFactor) VALUES (30, 1, 5070, 'M', 9, 0.7976);</t>
  </si>
  <si>
    <t>INSERT INTO tblWMA (WMADistance, WMARoad, WMAWRTime, WMASex, WMAAge, WMAFactor) VALUES (30, 1, 5070, 'M', 10, 0.8356);</t>
  </si>
  <si>
    <t>INSERT INTO tblWMA (WMADistance, WMARoad, WMAWRTime, WMASex, WMAAge, WMAFactor) VALUES (30, 1, 5070, 'M', 11, 0.8696);</t>
  </si>
  <si>
    <t>INSERT INTO tblWMA (WMADistance, WMARoad, WMAWRTime, WMASex, WMAAge, WMAFactor) VALUES (30, 1, 5070, 'M', 12, 0.8996);</t>
  </si>
  <si>
    <t>INSERT INTO tblWMA (WMADistance, WMARoad, WMAWRTime, WMASex, WMAAge, WMAFactor) VALUES (30, 1, 5070, 'M', 13, 0.9256);</t>
  </si>
  <si>
    <t>INSERT INTO tblWMA (WMADistance, WMARoad, WMAWRTime, WMASex, WMAAge, WMAFactor) VALUES (30, 1, 5070, 'M', 14, 0.9476);</t>
  </si>
  <si>
    <t>INSERT INTO tblWMA (WMADistance, WMARoad, WMAWRTime, WMASex, WMAAge, WMAFactor) VALUES (30, 1, 5070, 'M', 15, 0.9656);</t>
  </si>
  <si>
    <t>INSERT INTO tblWMA (WMADistance, WMARoad, WMAWRTime, WMASex, WMAAge, WMAFactor) VALUES (30, 1, 5070, 'M', 16, 0.9796);</t>
  </si>
  <si>
    <t>INSERT INTO tblWMA (WMADistance, WMARoad, WMAWRTime, WMASex, WMAAge, WMAFactor) VALUES (30, 1, 5070, 'M', 17, 0.9916);</t>
  </si>
  <si>
    <t>INSERT INTO tblWMA (WMADistance, WMARoad, WMAWRTime, WMASex, WMAAge, WMAFactor) VALUES (30, 1, 5070, 'M', 18, 0.9993);</t>
  </si>
  <si>
    <t>INSERT INTO tblWMA (WMADistance, WMARoad, WMAWRTime, WMASex, WMAAge, WMAFactor) VALUES (30, 1, 5070, 'M', 19, 1);</t>
  </si>
  <si>
    <t>INSERT INTO tblWMA (WMADistance, WMARoad, WMAWRTime, WMASex, WMAAge, WMAFactor) VALUES (30, 1, 5070, 'M', 20, 1);</t>
  </si>
  <si>
    <t>INSERT INTO tblWMA (WMADistance, WMARoad, WMAWRTime, WMASex, WMAAge, WMAFactor) VALUES (30, 1, 5070, 'M', 21, 1);</t>
  </si>
  <si>
    <t>INSERT INTO tblWMA (WMADistance, WMARoad, WMAWRTime, WMASex, WMAAge, WMAFactor) VALUES (30, 1, 5070, 'M', 22, 1);</t>
  </si>
  <si>
    <t>INSERT INTO tblWMA (WMADistance, WMARoad, WMAWRTime, WMASex, WMAAge, WMAFactor) VALUES (30, 1, 5070, 'M', 23, 1);</t>
  </si>
  <si>
    <t>INSERT INTO tblWMA (WMADistance, WMARoad, WMAWRTime, WMASex, WMAAge, WMAFactor) VALUES (30, 1, 5070, 'M', 24, 1);</t>
  </si>
  <si>
    <t>INSERT INTO tblWMA (WMADistance, WMARoad, WMAWRTime, WMASex, WMAAge, WMAFactor) VALUES (30, 1, 5070, 'M', 25, 1);</t>
  </si>
  <si>
    <t>INSERT INTO tblWMA (WMADistance, WMARoad, WMAWRTime, WMASex, WMAAge, WMAFactor) VALUES (30, 1, 5070, 'M', 26, 1);</t>
  </si>
  <si>
    <t>INSERT INTO tblWMA (WMADistance, WMARoad, WMAWRTime, WMASex, WMAAge, WMAFactor) VALUES (30, 1, 5070, 'M', 27, 1);</t>
  </si>
  <si>
    <t>INSERT INTO tblWMA (WMADistance, WMARoad, WMAWRTime, WMASex, WMAAge, WMAFactor) VALUES (30, 1, 5070, 'M', 28, 1);</t>
  </si>
  <si>
    <t>INSERT INTO tblWMA (WMADistance, WMARoad, WMAWRTime, WMASex, WMAAge, WMAFactor) VALUES (30, 1, 5070, 'M', 29, 1);</t>
  </si>
  <si>
    <t>INSERT INTO tblWMA (WMADistance, WMARoad, WMAWRTime, WMASex, WMAAge, WMAFactor) VALUES (30, 1, 5070, 'M', 30, 1);</t>
  </si>
  <si>
    <t>INSERT INTO tblWMA (WMADistance, WMARoad, WMAWRTime, WMASex, WMAAge, WMAFactor) VALUES (30, 1, 5070, 'M', 31, 1);</t>
  </si>
  <si>
    <t>INSERT INTO tblWMA (WMADistance, WMARoad, WMAWRTime, WMASex, WMAAge, WMAFactor) VALUES (30, 1, 5070, 'M', 32, 0.9998);</t>
  </si>
  <si>
    <t>INSERT INTO tblWMA (WMADistance, WMARoad, WMAWRTime, WMASex, WMAAge, WMAFactor) VALUES (30, 1, 5070, 'M', 33, 0.9988);</t>
  </si>
  <si>
    <t>INSERT INTO tblWMA (WMADistance, WMARoad, WMAWRTime, WMASex, WMAAge, WMAFactor) VALUES (30, 1, 5070, 'M', 34, 0.9971);</t>
  </si>
  <si>
    <t>INSERT INTO tblWMA (WMADistance, WMARoad, WMAWRTime, WMASex, WMAAge, WMAFactor) VALUES (30, 1, 5070, 'M', 35, 0.9945);</t>
  </si>
  <si>
    <t>INSERT INTO tblWMA (WMADistance, WMARoad, WMAWRTime, WMASex, WMAAge, WMAFactor) VALUES (30, 1, 5070, 'M', 36, 0.9911);</t>
  </si>
  <si>
    <t>INSERT INTO tblWMA (WMADistance, WMARoad, WMAWRTime, WMASex, WMAAge, WMAFactor) VALUES (30, 1, 5070, 'M', 37, 0.987);</t>
  </si>
  <si>
    <t>INSERT INTO tblWMA (WMADistance, WMARoad, WMAWRTime, WMASex, WMAAge, WMAFactor) VALUES (30, 1, 5070, 'M', 38, 0.982);</t>
  </si>
  <si>
    <t>INSERT INTO tblWMA (WMADistance, WMARoad, WMAWRTime, WMASex, WMAAge, WMAFactor) VALUES (30, 1, 5070, 'M', 39, 0.9762);</t>
  </si>
  <si>
    <t>INSERT INTO tblWMA (WMADistance, WMARoad, WMAWRTime, WMASex, WMAAge, WMAFactor) VALUES (30, 1, 5070, 'M', 40, 0.9696);</t>
  </si>
  <si>
    <t>INSERT INTO tblWMA (WMADistance, WMARoad, WMAWRTime, WMASex, WMAAge, WMAFactor) VALUES (30, 1, 5070, 'M', 41, 0.9623);</t>
  </si>
  <si>
    <t>INSERT INTO tblWMA (WMADistance, WMARoad, WMAWRTime, WMASex, WMAAge, WMAFactor) VALUES (30, 1, 5070, 'M', 42, 0.9545);</t>
  </si>
  <si>
    <t>INSERT INTO tblWMA (WMADistance, WMARoad, WMAWRTime, WMASex, WMAAge, WMAFactor) VALUES (30, 1, 5070, 'M', 43, 0.9467);</t>
  </si>
  <si>
    <t>INSERT INTO tblWMA (WMADistance, WMARoad, WMAWRTime, WMASex, WMAAge, WMAFactor) VALUES (30, 1, 5070, 'M', 44, 0.9389);</t>
  </si>
  <si>
    <t>INSERT INTO tblWMA (WMADistance, WMARoad, WMAWRTime, WMASex, WMAAge, WMAFactor) VALUES (30, 1, 5070, 'M', 45, 0.9311);</t>
  </si>
  <si>
    <t>INSERT INTO tblWMA (WMADistance, WMARoad, WMAWRTime, WMASex, WMAAge, WMAFactor) VALUES (30, 1, 5070, 'M', 46, 0.9234);</t>
  </si>
  <si>
    <t>INSERT INTO tblWMA (WMADistance, WMARoad, WMAWRTime, WMASex, WMAAge, WMAFactor) VALUES (30, 1, 5070, 'M', 47, 0.9156);</t>
  </si>
  <si>
    <t>INSERT INTO tblWMA (WMADistance, WMARoad, WMAWRTime, WMASex, WMAAge, WMAFactor) VALUES (30, 1, 5070, 'M', 48, 0.9078);</t>
  </si>
  <si>
    <t>INSERT INTO tblWMA (WMADistance, WMARoad, WMAWRTime, WMASex, WMAAge, WMAFactor) VALUES (30, 1, 5070, 'M', 49, 0.9);</t>
  </si>
  <si>
    <t>INSERT INTO tblWMA (WMADistance, WMARoad, WMAWRTime, WMASex, WMAAge, WMAFactor) VALUES (30, 1, 5070, 'M', 50, 0.8922);</t>
  </si>
  <si>
    <t>INSERT INTO tblWMA (WMADistance, WMARoad, WMAWRTime, WMASex, WMAAge, WMAFactor) VALUES (30, 1, 5070, 'M', 51, 0.8845);</t>
  </si>
  <si>
    <t>INSERT INTO tblWMA (WMADistance, WMARoad, WMAWRTime, WMASex, WMAAge, WMAFactor) VALUES (30, 1, 5070, 'M', 52, 0.8767);</t>
  </si>
  <si>
    <t>INSERT INTO tblWMA (WMADistance, WMARoad, WMAWRTime, WMASex, WMAAge, WMAFactor) VALUES (30, 1, 5070, 'M', 53, 0.8689);</t>
  </si>
  <si>
    <t>INSERT INTO tblWMA (WMADistance, WMARoad, WMAWRTime, WMASex, WMAAge, WMAFactor) VALUES (30, 1, 5070, 'M', 54, 0.8611);</t>
  </si>
  <si>
    <t>INSERT INTO tblWMA (WMADistance, WMARoad, WMAWRTime, WMASex, WMAAge, WMAFactor) VALUES (30, 1, 5070, 'M', 55, 0.8533);</t>
  </si>
  <si>
    <t>INSERT INTO tblWMA (WMADistance, WMARoad, WMAWRTime, WMASex, WMAAge, WMAFactor) VALUES (30, 1, 5070, 'M', 56, 0.8456);</t>
  </si>
  <si>
    <t>INSERT INTO tblWMA (WMADistance, WMARoad, WMAWRTime, WMASex, WMAAge, WMAFactor) VALUES (30, 1, 5070, 'M', 57, 0.8378);</t>
  </si>
  <si>
    <t>INSERT INTO tblWMA (WMADistance, WMARoad, WMAWRTime, WMASex, WMAAge, WMAFactor) VALUES (30, 1, 5070, 'M', 58, 0.83);</t>
  </si>
  <si>
    <t>INSERT INTO tblWMA (WMADistance, WMARoad, WMAWRTime, WMASex, WMAAge, WMAFactor) VALUES (30, 1, 5070, 'M', 59, 0.8222);</t>
  </si>
  <si>
    <t>INSERT INTO tblWMA (WMADistance, WMARoad, WMAWRTime, WMASex, WMAAge, WMAFactor) VALUES (30, 1, 5070, 'M', 60, 0.8144);</t>
  </si>
  <si>
    <t>INSERT INTO tblWMA (WMADistance, WMARoad, WMAWRTime, WMASex, WMAAge, WMAFactor) VALUES (30, 1, 5070, 'M', 61, 0.8067);</t>
  </si>
  <si>
    <t>INSERT INTO tblWMA (WMADistance, WMARoad, WMAWRTime, WMASex, WMAAge, WMAFactor) VALUES (30, 1, 5070, 'M', 62, 0.7989);</t>
  </si>
  <si>
    <t>INSERT INTO tblWMA (WMADistance, WMARoad, WMAWRTime, WMASex, WMAAge, WMAFactor) VALUES (30, 1, 5070, 'M', 63, 0.7911);</t>
  </si>
  <si>
    <t>INSERT INTO tblWMA (WMADistance, WMARoad, WMAWRTime, WMASex, WMAAge, WMAFactor) VALUES (30, 1, 5070, 'M', 64, 0.7833);</t>
  </si>
  <si>
    <t>INSERT INTO tblWMA (WMADistance, WMARoad, WMAWRTime, WMASex, WMAAge, WMAFactor) VALUES (30, 1, 5070, 'M', 65, 0.7755);</t>
  </si>
  <si>
    <t>INSERT INTO tblWMA (WMADistance, WMARoad, WMAWRTime, WMASex, WMAAge, WMAFactor) VALUES (30, 1, 5070, 'M', 66, 0.7678);</t>
  </si>
  <si>
    <t>INSERT INTO tblWMA (WMADistance, WMARoad, WMAWRTime, WMASex, WMAAge, WMAFactor) VALUES (30, 1, 5070, 'M', 67, 0.76);</t>
  </si>
  <si>
    <t>INSERT INTO tblWMA (WMADistance, WMARoad, WMAWRTime, WMASex, WMAAge, WMAFactor) VALUES (30, 1, 5070, 'M', 68, 0.7522);</t>
  </si>
  <si>
    <t>INSERT INTO tblWMA (WMADistance, WMARoad, WMAWRTime, WMASex, WMAAge, WMAFactor) VALUES (30, 1, 5070, 'M', 69, 0.7444);</t>
  </si>
  <si>
    <t>INSERT INTO tblWMA (WMADistance, WMARoad, WMAWRTime, WMASex, WMAAge, WMAFactor) VALUES (30, 1, 5070, 'M', 70, 0.7366);</t>
  </si>
  <si>
    <t>INSERT INTO tblWMA (WMADistance, WMARoad, WMAWRTime, WMASex, WMAAge, WMAFactor) VALUES (30, 1, 5070, 'M', 71, 0.7285);</t>
  </si>
  <si>
    <t>INSERT INTO tblWMA (WMADistance, WMARoad, WMAWRTime, WMASex, WMAAge, WMAFactor) VALUES (30, 1, 5070, 'M', 72, 0.7197);</t>
  </si>
  <si>
    <t>INSERT INTO tblWMA (WMADistance, WMARoad, WMAWRTime, WMASex, WMAAge, WMAFactor) VALUES (30, 1, 5070, 'M', 73, 0.7102);</t>
  </si>
  <si>
    <t>INSERT INTO tblWMA (WMADistance, WMARoad, WMAWRTime, WMASex, WMAAge, WMAFactor) VALUES (30, 1, 5070, 'M', 74, 0.6999);</t>
  </si>
  <si>
    <t>INSERT INTO tblWMA (WMADistance, WMARoad, WMAWRTime, WMASex, WMAAge, WMAFactor) VALUES (30, 1, 5070, 'M', 75, 0.689);</t>
  </si>
  <si>
    <t>INSERT INTO tblWMA (WMADistance, WMARoad, WMAWRTime, WMASex, WMAAge, WMAFactor) VALUES (30, 1, 5070, 'M', 76, 0.6774);</t>
  </si>
  <si>
    <t>INSERT INTO tblWMA (WMADistance, WMARoad, WMAWRTime, WMASex, WMAAge, WMAFactor) VALUES (30, 1, 5070, 'M', 77, 0.665);</t>
  </si>
  <si>
    <t>INSERT INTO tblWMA (WMADistance, WMARoad, WMAWRTime, WMASex, WMAAge, WMAFactor) VALUES (30, 1, 5070, 'M', 78, 0.652);</t>
  </si>
  <si>
    <t>INSERT INTO tblWMA (WMADistance, WMARoad, WMAWRTime, WMASex, WMAAge, WMAFactor) VALUES (30, 1, 5070, 'M', 79, 0.6383);</t>
  </si>
  <si>
    <t>INSERT INTO tblWMA (WMADistance, WMARoad, WMAWRTime, WMASex, WMAAge, WMAFactor) VALUES (30, 1, 5070, 'M', 80, 0.6238);</t>
  </si>
  <si>
    <t>INSERT INTO tblWMA (WMADistance, WMARoad, WMAWRTime, WMASex, WMAAge, WMAFactor) VALUES (30, 1, 5070, 'M', 81, 0.6087);</t>
  </si>
  <si>
    <t>INSERT INTO tblWMA (WMADistance, WMARoad, WMAWRTime, WMASex, WMAAge, WMAFactor) VALUES (30, 1, 5070, 'M', 82, 0.5929);</t>
  </si>
  <si>
    <t>INSERT INTO tblWMA (WMADistance, WMARoad, WMAWRTime, WMASex, WMAAge, WMAFactor) VALUES (30, 1, 5070, 'M', 83, 0.5764);</t>
  </si>
  <si>
    <t>INSERT INTO tblWMA (WMADistance, WMARoad, WMAWRTime, WMASex, WMAAge, WMAFactor) VALUES (30, 1, 5070, 'M', 84, 0.5591);</t>
  </si>
  <si>
    <t>INSERT INTO tblWMA (WMADistance, WMARoad, WMAWRTime, WMASex, WMAAge, WMAFactor) VALUES (30, 1, 5070, 'M', 85, 0.5412);</t>
  </si>
  <si>
    <t>INSERT INTO tblWMA (WMADistance, WMARoad, WMAWRTime, WMASex, WMAAge, WMAFactor) VALUES (30, 1, 5070, 'M', 86, 0.5226);</t>
  </si>
  <si>
    <t>INSERT INTO tblWMA (WMADistance, WMARoad, WMAWRTime, WMASex, WMAAge, WMAFactor) VALUES (30, 1, 5070, 'M', 87, 0.5032);</t>
  </si>
  <si>
    <t>INSERT INTO tblWMA (WMADistance, WMARoad, WMAWRTime, WMASex, WMAAge, WMAFactor) VALUES (30, 1, 5070, 'M', 88, 0.4832);</t>
  </si>
  <si>
    <t>INSERT INTO tblWMA (WMADistance, WMARoad, WMAWRTime, WMASex, WMAAge, WMAFactor) VALUES (30, 1, 5070, 'M', 89, 0.4625);</t>
  </si>
  <si>
    <t>INSERT INTO tblWMA (WMADistance, WMARoad, WMAWRTime, WMASex, WMAAge, WMAFactor) VALUES (30, 1, 5070, 'M', 90, 0.441);</t>
  </si>
  <si>
    <t>INSERT INTO tblWMA (WMADistance, WMARoad, WMAWRTime, WMASex, WMAAge, WMAFactor) VALUES (30, 1, 5070, 'M', 91, 0.4189);</t>
  </si>
  <si>
    <t>INSERT INTO tblWMA (WMADistance, WMARoad, WMAWRTime, WMASex, WMAAge, WMAFactor) VALUES (30, 1, 5070, 'M', 92, 0.3961);</t>
  </si>
  <si>
    <t>INSERT INTO tblWMA (WMADistance, WMARoad, WMAWRTime, WMASex, WMAAge, WMAFactor) VALUES (30, 1, 5070, 'M', 93, 0.3726);</t>
  </si>
  <si>
    <t>INSERT INTO tblWMA (WMADistance, WMARoad, WMAWRTime, WMASex, WMAAge, WMAFactor) VALUES (30, 1, 5070, 'M', 94, 0.3483);</t>
  </si>
  <si>
    <t>INSERT INTO tblWMA (WMADistance, WMARoad, WMAWRTime, WMASex, WMAAge, WMAFactor) VALUES (30, 1, 5070, 'M', 95, 0.3234);</t>
  </si>
  <si>
    <t>INSERT INTO tblWMA (WMADistance, WMARoad, WMAWRTime, WMASex, WMAAge, WMAFactor) VALUES (30, 1, 5070, 'M', 96, 0.2978);</t>
  </si>
  <si>
    <t>INSERT INTO tblWMA (WMADistance, WMARoad, WMAWRTime, WMASex, WMAAge, WMAFactor) VALUES (30, 1, 5070, 'M', 97, 0.2714);</t>
  </si>
  <si>
    <t>INSERT INTO tblWMA (WMADistance, WMARoad, WMAWRTime, WMASex, WMAAge, WMAFactor) VALUES (30, 1, 5070, 'M', 98, 0.2444);</t>
  </si>
  <si>
    <t>INSERT INTO tblWMA (WMADistance, WMARoad, WMAWRTime, WMASex, WMAAge, WMAFactor) VALUES (30, 1, 5070, 'M', 99, 0.2167);</t>
  </si>
  <si>
    <t>INSERT INTO tblWMA (WMADistance, WMARoad, WMAWRTime, WMASex, WMAAge, WMAFactor) VALUES (30, 1, 5070, 'M', 100, 0.1882);</t>
  </si>
  <si>
    <t>INSERT INTO tblWMA (WMADistance, WMARoad, WMAWRTime, WMASex, WMAAge, WMAFactor) VALUES (42.195, 1, 7299, 'M', 5, 0.6056);</t>
  </si>
  <si>
    <t>INSERT INTO tblWMA (WMADistance, WMARoad, WMAWRTime, WMASex, WMAAge, WMAFactor) VALUES (42.195, 1, 7299, 'M', 6, 0.6596);</t>
  </si>
  <si>
    <t>INSERT INTO tblWMA (WMADistance, WMARoad, WMAWRTime, WMASex, WMAAge, WMAFactor) VALUES (42.195, 1, 7299, 'M', 7, 0.7096);</t>
  </si>
  <si>
    <t>INSERT INTO tblWMA (WMADistance, WMARoad, WMAWRTime, WMASex, WMAAge, WMAFactor) VALUES (42.195, 1, 7299, 'M', 8, 0.7556);</t>
  </si>
  <si>
    <t>INSERT INTO tblWMA (WMADistance, WMARoad, WMAWRTime, WMASex, WMAAge, WMAFactor) VALUES (42.195, 1, 7299, 'M', 9, 0.7976);</t>
  </si>
  <si>
    <t>INSERT INTO tblWMA (WMADistance, WMARoad, WMAWRTime, WMASex, WMAAge, WMAFactor) VALUES (42.195, 1, 7299, 'M', 10, 0.8356);</t>
  </si>
  <si>
    <t>INSERT INTO tblWMA (WMADistance, WMARoad, WMAWRTime, WMASex, WMAAge, WMAFactor) VALUES (42.195, 1, 7299, 'M', 11, 0.8696);</t>
  </si>
  <si>
    <t>INSERT INTO tblWMA (WMADistance, WMARoad, WMAWRTime, WMASex, WMAAge, WMAFactor) VALUES (42.195, 1, 7299, 'M', 12, 0.8996);</t>
  </si>
  <si>
    <t>INSERT INTO tblWMA (WMADistance, WMARoad, WMAWRTime, WMASex, WMAAge, WMAFactor) VALUES (42.195, 1, 7299, 'M', 13, 0.9256);</t>
  </si>
  <si>
    <t>INSERT INTO tblWMA (WMADistance, WMARoad, WMAWRTime, WMASex, WMAAge, WMAFactor) VALUES (42.195, 1, 7299, 'M', 14, 0.9476);</t>
  </si>
  <si>
    <t>INSERT INTO tblWMA (WMADistance, WMARoad, WMAWRTime, WMASex, WMAAge, WMAFactor) VALUES (42.195, 1, 7299, 'M', 15, 0.9656);</t>
  </si>
  <si>
    <t>INSERT INTO tblWMA (WMADistance, WMARoad, WMAWRTime, WMASex, WMAAge, WMAFactor) VALUES (42.195, 1, 7299, 'M', 16, 0.9796);</t>
  </si>
  <si>
    <t>INSERT INTO tblWMA (WMADistance, WMARoad, WMAWRTime, WMASex, WMAAge, WMAFactor) VALUES (42.195, 1, 7299, 'M', 17, 0.9916);</t>
  </si>
  <si>
    <t>INSERT INTO tblWMA (WMADistance, WMARoad, WMAWRTime, WMASex, WMAAge, WMAFactor) VALUES (42.195, 1, 7299, 'M', 18, 0.9993);</t>
  </si>
  <si>
    <t>INSERT INTO tblWMA (WMADistance, WMARoad, WMAWRTime, WMASex, WMAAge, WMAFactor) VALUES (42.195, 1, 7299, 'M', 19, 1);</t>
  </si>
  <si>
    <t>INSERT INTO tblWMA (WMADistance, WMARoad, WMAWRTime, WMASex, WMAAge, WMAFactor) VALUES (42.195, 1, 7299, 'M', 20, 1);</t>
  </si>
  <si>
    <t>INSERT INTO tblWMA (WMADistance, WMARoad, WMAWRTime, WMASex, WMAAge, WMAFactor) VALUES (42.195, 1, 7299, 'M', 21, 1);</t>
  </si>
  <si>
    <t>INSERT INTO tblWMA (WMADistance, WMARoad, WMAWRTime, WMASex, WMAAge, WMAFactor) VALUES (42.195, 1, 7299, 'M', 22, 1);</t>
  </si>
  <si>
    <t>INSERT INTO tblWMA (WMADistance, WMARoad, WMAWRTime, WMASex, WMAAge, WMAFactor) VALUES (42.195, 1, 7299, 'M', 23, 1);</t>
  </si>
  <si>
    <t>INSERT INTO tblWMA (WMADistance, WMARoad, WMAWRTime, WMASex, WMAAge, WMAFactor) VALUES (42.195, 1, 7299, 'M', 24, 1);</t>
  </si>
  <si>
    <t>INSERT INTO tblWMA (WMADistance, WMARoad, WMAWRTime, WMASex, WMAAge, WMAFactor) VALUES (42.195, 1, 7299, 'M', 25, 1);</t>
  </si>
  <si>
    <t>INSERT INTO tblWMA (WMADistance, WMARoad, WMAWRTime, WMASex, WMAAge, WMAFactor) VALUES (42.195, 1, 7299, 'M', 26, 1);</t>
  </si>
  <si>
    <t>INSERT INTO tblWMA (WMADistance, WMARoad, WMAWRTime, WMASex, WMAAge, WMAFactor) VALUES (42.195, 1, 7299, 'M', 27, 1);</t>
  </si>
  <si>
    <t>INSERT INTO tblWMA (WMADistance, WMARoad, WMAWRTime, WMASex, WMAAge, WMAFactor) VALUES (42.195, 1, 7299, 'M', 28, 1);</t>
  </si>
  <si>
    <t>INSERT INTO tblWMA (WMADistance, WMARoad, WMAWRTime, WMASex, WMAAge, WMAFactor) VALUES (42.195, 1, 7299, 'M', 29, 1);</t>
  </si>
  <si>
    <t>INSERT INTO tblWMA (WMADistance, WMARoad, WMAWRTime, WMASex, WMAAge, WMAFactor) VALUES (42.195, 1, 7299, 'M', 30, 1);</t>
  </si>
  <si>
    <t>INSERT INTO tblWMA (WMADistance, WMARoad, WMAWRTime, WMASex, WMAAge, WMAFactor) VALUES (42.195, 1, 7299, 'M', 31, 1);</t>
  </si>
  <si>
    <t>INSERT INTO tblWMA (WMADistance, WMARoad, WMAWRTime, WMASex, WMAAge, WMAFactor) VALUES (42.195, 1, 7299, 'M', 32, 0.9998);</t>
  </si>
  <si>
    <t>INSERT INTO tblWMA (WMADistance, WMARoad, WMAWRTime, WMASex, WMAAge, WMAFactor) VALUES (42.195, 1, 7299, 'M', 33, 0.9988);</t>
  </si>
  <si>
    <t>INSERT INTO tblWMA (WMADistance, WMARoad, WMAWRTime, WMASex, WMAAge, WMAFactor) VALUES (42.195, 1, 7299, 'M', 34, 0.9971);</t>
  </si>
  <si>
    <t>INSERT INTO tblWMA (WMADistance, WMARoad, WMAWRTime, WMASex, WMAAge, WMAFactor) VALUES (42.195, 1, 7299, 'M', 35, 0.9945);</t>
  </si>
  <si>
    <t>INSERT INTO tblWMA (WMADistance, WMARoad, WMAWRTime, WMASex, WMAAge, WMAFactor) VALUES (42.195, 1, 7299, 'M', 36, 0.9911);</t>
  </si>
  <si>
    <t>INSERT INTO tblWMA (WMADistance, WMARoad, WMAWRTime, WMASex, WMAAge, WMAFactor) VALUES (42.195, 1, 7299, 'M', 37, 0.987);</t>
  </si>
  <si>
    <t>INSERT INTO tblWMA (WMADistance, WMARoad, WMAWRTime, WMASex, WMAAge, WMAFactor) VALUES (42.195, 1, 7299, 'M', 38, 0.982);</t>
  </si>
  <si>
    <t>INSERT INTO tblWMA (WMADistance, WMARoad, WMAWRTime, WMASex, WMAAge, WMAFactor) VALUES (42.195, 1, 7299, 'M', 39, 0.9762);</t>
  </si>
  <si>
    <t>INSERT INTO tblWMA (WMADistance, WMARoad, WMAWRTime, WMASex, WMAAge, WMAFactor) VALUES (42.195, 1, 7299, 'M', 40, 0.9696);</t>
  </si>
  <si>
    <t>INSERT INTO tblWMA (WMADistance, WMARoad, WMAWRTime, WMASex, WMAAge, WMAFactor) VALUES (42.195, 1, 7299, 'M', 41, 0.9623);</t>
  </si>
  <si>
    <t>INSERT INTO tblWMA (WMADistance, WMARoad, WMAWRTime, WMASex, WMAAge, WMAFactor) VALUES (42.195, 1, 7299, 'M', 42, 0.9545);</t>
  </si>
  <si>
    <t>INSERT INTO tblWMA (WMADistance, WMARoad, WMAWRTime, WMASex, WMAAge, WMAFactor) VALUES (42.195, 1, 7299, 'M', 43, 0.9467);</t>
  </si>
  <si>
    <t>INSERT INTO tblWMA (WMADistance, WMARoad, WMAWRTime, WMASex, WMAAge, WMAFactor) VALUES (42.195, 1, 7299, 'M', 44, 0.9389);</t>
  </si>
  <si>
    <t>INSERT INTO tblWMA (WMADistance, WMARoad, WMAWRTime, WMASex, WMAAge, WMAFactor) VALUES (42.195, 1, 7299, 'M', 45, 0.9311);</t>
  </si>
  <si>
    <t>INSERT INTO tblWMA (WMADistance, WMARoad, WMAWRTime, WMASex, WMAAge, WMAFactor) VALUES (42.195, 1, 7299, 'M', 46, 0.9234);</t>
  </si>
  <si>
    <t>INSERT INTO tblWMA (WMADistance, WMARoad, WMAWRTime, WMASex, WMAAge, WMAFactor) VALUES (42.195, 1, 7299, 'M', 47, 0.9156);</t>
  </si>
  <si>
    <t>INSERT INTO tblWMA (WMADistance, WMARoad, WMAWRTime, WMASex, WMAAge, WMAFactor) VALUES (42.195, 1, 7299, 'M', 48, 0.9078);</t>
  </si>
  <si>
    <t>INSERT INTO tblWMA (WMADistance, WMARoad, WMAWRTime, WMASex, WMAAge, WMAFactor) VALUES (42.195, 1, 7299, 'M', 49, 0.9);</t>
  </si>
  <si>
    <t>INSERT INTO tblWMA (WMADistance, WMARoad, WMAWRTime, WMASex, WMAAge, WMAFactor) VALUES (42.195, 1, 7299, 'M', 50, 0.8922);</t>
  </si>
  <si>
    <t>INSERT INTO tblWMA (WMADistance, WMARoad, WMAWRTime, WMASex, WMAAge, WMAFactor) VALUES (42.195, 1, 7299, 'M', 51, 0.8845);</t>
  </si>
  <si>
    <t>INSERT INTO tblWMA (WMADistance, WMARoad, WMAWRTime, WMASex, WMAAge, WMAFactor) VALUES (42.195, 1, 7299, 'M', 52, 0.8767);</t>
  </si>
  <si>
    <t>INSERT INTO tblWMA (WMADistance, WMARoad, WMAWRTime, WMASex, WMAAge, WMAFactor) VALUES (42.195, 1, 7299, 'M', 53, 0.8689);</t>
  </si>
  <si>
    <t>INSERT INTO tblWMA (WMADistance, WMARoad, WMAWRTime, WMASex, WMAAge, WMAFactor) VALUES (42.195, 1, 7299, 'M', 54, 0.8611);</t>
  </si>
  <si>
    <t>INSERT INTO tblWMA (WMADistance, WMARoad, WMAWRTime, WMASex, WMAAge, WMAFactor) VALUES (42.195, 1, 7299, 'M', 55, 0.8533);</t>
  </si>
  <si>
    <t>INSERT INTO tblWMA (WMADistance, WMARoad, WMAWRTime, WMASex, WMAAge, WMAFactor) VALUES (42.195, 1, 7299, 'M', 56, 0.8456);</t>
  </si>
  <si>
    <t>INSERT INTO tblWMA (WMADistance, WMARoad, WMAWRTime, WMASex, WMAAge, WMAFactor) VALUES (42.195, 1, 7299, 'M', 57, 0.8378);</t>
  </si>
  <si>
    <t>INSERT INTO tblWMA (WMADistance, WMARoad, WMAWRTime, WMASex, WMAAge, WMAFactor) VALUES (42.195, 1, 7299, 'M', 58, 0.83);</t>
  </si>
  <si>
    <t>INSERT INTO tblWMA (WMADistance, WMARoad, WMAWRTime, WMASex, WMAAge, WMAFactor) VALUES (42.195, 1, 7299, 'M', 59, 0.8222);</t>
  </si>
  <si>
    <t>INSERT INTO tblWMA (WMADistance, WMARoad, WMAWRTime, WMASex, WMAAge, WMAFactor) VALUES (42.195, 1, 7299, 'M', 60, 0.8144);</t>
  </si>
  <si>
    <t>INSERT INTO tblWMA (WMADistance, WMARoad, WMAWRTime, WMASex, WMAAge, WMAFactor) VALUES (42.195, 1, 7299, 'M', 61, 0.8067);</t>
  </si>
  <si>
    <t>INSERT INTO tblWMA (WMADistance, WMARoad, WMAWRTime, WMASex, WMAAge, WMAFactor) VALUES (42.195, 1, 7299, 'M', 62, 0.7989);</t>
  </si>
  <si>
    <t>INSERT INTO tblWMA (WMADistance, WMARoad, WMAWRTime, WMASex, WMAAge, WMAFactor) VALUES (42.195, 1, 7299, 'M', 63, 0.7911);</t>
  </si>
  <si>
    <t>INSERT INTO tblWMA (WMADistance, WMARoad, WMAWRTime, WMASex, WMAAge, WMAFactor) VALUES (42.195, 1, 7299, 'M', 64, 0.7833);</t>
  </si>
  <si>
    <t>INSERT INTO tblWMA (WMADistance, WMARoad, WMAWRTime, WMASex, WMAAge, WMAFactor) VALUES (42.195, 1, 7299, 'M', 65, 0.7755);</t>
  </si>
  <si>
    <t>INSERT INTO tblWMA (WMADistance, WMARoad, WMAWRTime, WMASex, WMAAge, WMAFactor) VALUES (42.195, 1, 7299, 'M', 66, 0.7678);</t>
  </si>
  <si>
    <t>INSERT INTO tblWMA (WMADistance, WMARoad, WMAWRTime, WMASex, WMAAge, WMAFactor) VALUES (42.195, 1, 7299, 'M', 67, 0.76);</t>
  </si>
  <si>
    <t>INSERT INTO tblWMA (WMADistance, WMARoad, WMAWRTime, WMASex, WMAAge, WMAFactor) VALUES (42.195, 1, 7299, 'M', 68, 0.7522);</t>
  </si>
  <si>
    <t>INSERT INTO tblWMA (WMADistance, WMARoad, WMAWRTime, WMASex, WMAAge, WMAFactor) VALUES (42.195, 1, 7299, 'M', 69, 0.7444);</t>
  </si>
  <si>
    <t>INSERT INTO tblWMA (WMADistance, WMARoad, WMAWRTime, WMASex, WMAAge, WMAFactor) VALUES (42.195, 1, 7299, 'M', 70, 0.7366);</t>
  </si>
  <si>
    <t>INSERT INTO tblWMA (WMADistance, WMARoad, WMAWRTime, WMASex, WMAAge, WMAFactor) VALUES (42.195, 1, 7299, 'M', 71, 0.7286);</t>
  </si>
  <si>
    <t>INSERT INTO tblWMA (WMADistance, WMARoad, WMAWRTime, WMASex, WMAAge, WMAFactor) VALUES (42.195, 1, 7299, 'M', 72, 0.7198);</t>
  </si>
  <si>
    <t>INSERT INTO tblWMA (WMADistance, WMARoad, WMAWRTime, WMASex, WMAAge, WMAFactor) VALUES (42.195, 1, 7299, 'M', 73, 0.7104);</t>
  </si>
  <si>
    <t>INSERT INTO tblWMA (WMADistance, WMARoad, WMAWRTime, WMASex, WMAAge, WMAFactor) VALUES (42.195, 1, 7299, 'M', 74, 0.7002);</t>
  </si>
  <si>
    <t>INSERT INTO tblWMA (WMADistance, WMARoad, WMAWRTime, WMASex, WMAAge, WMAFactor) VALUES (42.195, 1, 7299, 'M', 75, 0.6893);</t>
  </si>
  <si>
    <t>INSERT INTO tblWMA (WMADistance, WMARoad, WMAWRTime, WMASex, WMAAge, WMAFactor) VALUES (42.195, 1, 7299, 'M', 76, 0.6778);</t>
  </si>
  <si>
    <t>INSERT INTO tblWMA (WMADistance, WMARoad, WMAWRTime, WMASex, WMAAge, WMAFactor) VALUES (42.195, 1, 7299, 'M', 77, 0.6655);</t>
  </si>
  <si>
    <t>INSERT INTO tblWMA (WMADistance, WMARoad, WMAWRTime, WMASex, WMAAge, WMAFactor) VALUES (42.195, 1, 7299, 'M', 78, 0.6526);</t>
  </si>
  <si>
    <t>INSERT INTO tblWMA (WMADistance, WMARoad, WMAWRTime, WMASex, WMAAge, WMAFactor) VALUES (42.195, 1, 7299, 'M', 79, 0.6389);</t>
  </si>
  <si>
    <t>INSERT INTO tblWMA (WMADistance, WMARoad, WMAWRTime, WMASex, WMAAge, WMAFactor) VALUES (42.195, 1, 7299, 'M', 80, 0.6245);</t>
  </si>
  <si>
    <t>INSERT INTO tblWMA (WMADistance, WMARoad, WMAWRTime, WMASex, WMAAge, WMAFactor) VALUES (42.195, 1, 7299, 'M', 81, 0.6095);</t>
  </si>
  <si>
    <t>INSERT INTO tblWMA (WMADistance, WMARoad, WMAWRTime, WMASex, WMAAge, WMAFactor) VALUES (42.195, 1, 7299, 'M', 82, 0.5937);</t>
  </si>
  <si>
    <t>INSERT INTO tblWMA (WMADistance, WMARoad, WMAWRTime, WMASex, WMAAge, WMAFactor) VALUES (42.195, 1, 7299, 'M', 83, 0.5773);</t>
  </si>
  <si>
    <t>INSERT INTO tblWMA (WMADistance, WMARoad, WMAWRTime, WMASex, WMAAge, WMAFactor) VALUES (42.195, 1, 7299, 'M', 84, 0.5601);</t>
  </si>
  <si>
    <t>INSERT INTO tblWMA (WMADistance, WMARoad, WMAWRTime, WMASex, WMAAge, WMAFactor) VALUES (42.195, 1, 7299, 'M', 85, 0.5422);</t>
  </si>
  <si>
    <t>INSERT INTO tblWMA (WMADistance, WMARoad, WMAWRTime, WMASex, WMAAge, WMAFactor) VALUES (42.195, 1, 7299, 'M', 86, 0.5237);</t>
  </si>
  <si>
    <t>INSERT INTO tblWMA (WMADistance, WMARoad, WMAWRTime, WMASex, WMAAge, WMAFactor) VALUES (42.195, 1, 7299, 'M', 87, 0.5044);</t>
  </si>
  <si>
    <t>INSERT INTO tblWMA (WMADistance, WMARoad, WMAWRTime, WMASex, WMAAge, WMAFactor) VALUES (42.195, 1, 7299, 'M', 88, 0.4845);</t>
  </si>
  <si>
    <t>INSERT INTO tblWMA (WMADistance, WMARoad, WMAWRTime, WMASex, WMAAge, WMAFactor) VALUES (42.195, 1, 7299, 'M', 89, 0.4638);</t>
  </si>
  <si>
    <t>INSERT INTO tblWMA (WMADistance, WMARoad, WMAWRTime, WMASex, WMAAge, WMAFactor) VALUES (42.195, 1, 7299, 'M', 90, 0.4424);</t>
  </si>
  <si>
    <t>INSERT INTO tblWMA (WMADistance, WMARoad, WMAWRTime, WMASex, WMAAge, WMAFactor) VALUES (42.195, 1, 7299, 'M', 91, 0.4204);</t>
  </si>
  <si>
    <t>INSERT INTO tblWMA (WMADistance, WMARoad, WMAWRTime, WMASex, WMAAge, WMAFactor) VALUES (42.195, 1, 7299, 'M', 92, 0.3976);</t>
  </si>
  <si>
    <t>INSERT INTO tblWMA (WMADistance, WMARoad, WMAWRTime, WMASex, WMAAge, WMAFactor) VALUES (42.195, 1, 7299, 'M', 93, 0.3742);</t>
  </si>
  <si>
    <t>INSERT INTO tblWMA (WMADistance, WMARoad, WMAWRTime, WMASex, WMAAge, WMAFactor) VALUES (42.195, 1, 7299, 'M', 94, 0.35);</t>
  </si>
  <si>
    <t>INSERT INTO tblWMA (WMADistance, WMARoad, WMAWRTime, WMASex, WMAAge, WMAFactor) VALUES (42.195, 1, 7299, 'M', 95, 0.3251);</t>
  </si>
  <si>
    <t>INSERT INTO tblWMA (WMADistance, WMARoad, WMAWRTime, WMASex, WMAAge, WMAFactor) VALUES (42.195, 1, 7299, 'M', 96, 0.2996);</t>
  </si>
  <si>
    <t>INSERT INTO tblWMA (WMADistance, WMARoad, WMAWRTime, WMASex, WMAAge, WMAFactor) VALUES (42.195, 1, 7299, 'M', 97, 0.2733);</t>
  </si>
  <si>
    <t>INSERT INTO tblWMA (WMADistance, WMARoad, WMAWRTime, WMASex, WMAAge, WMAFactor) VALUES (42.195, 1, 7299, 'M', 98, 0.2464);</t>
  </si>
  <si>
    <t>INSERT INTO tblWMA (WMADistance, WMARoad, WMAWRTime, WMASex, WMAAge, WMAFactor) VALUES (42.195, 1, 7299, 'M', 99, 0.2187);</t>
  </si>
  <si>
    <t>INSERT INTO tblWMA (WMADistance, WMARoad, WMAWRTime, WMASex, WMAAge, WMAFactor) VALUES (42.195, 1, 7299, 'M', 100, 0.1903);</t>
  </si>
  <si>
    <t>INSERT INTO tblWMA (WMADistance, WMARoad, WMAWRTime, WMASex, WMAAge, WMAFactor) VALUES (50, 1, 8970, 'M', 5, 0.6056);</t>
  </si>
  <si>
    <t>INSERT INTO tblWMA (WMADistance, WMARoad, WMAWRTime, WMASex, WMAAge, WMAFactor) VALUES (50, 1, 8970, 'M', 6, 0.6596);</t>
  </si>
  <si>
    <t>INSERT INTO tblWMA (WMADistance, WMARoad, WMAWRTime, WMASex, WMAAge, WMAFactor) VALUES (50, 1, 8970, 'M', 7, 0.7096);</t>
  </si>
  <si>
    <t>INSERT INTO tblWMA (WMADistance, WMARoad, WMAWRTime, WMASex, WMAAge, WMAFactor) VALUES (50, 1, 8970, 'M', 8, 0.7556);</t>
  </si>
  <si>
    <t>INSERT INTO tblWMA (WMADistance, WMARoad, WMAWRTime, WMASex, WMAAge, WMAFactor) VALUES (50, 1, 8970, 'M', 9, 0.7976);</t>
  </si>
  <si>
    <t>INSERT INTO tblWMA (WMADistance, WMARoad, WMAWRTime, WMASex, WMAAge, WMAFactor) VALUES (50, 1, 8970, 'M', 10, 0.8356);</t>
  </si>
  <si>
    <t>INSERT INTO tblWMA (WMADistance, WMARoad, WMAWRTime, WMASex, WMAAge, WMAFactor) VALUES (50, 1, 8970, 'M', 11, 0.8696);</t>
  </si>
  <si>
    <t>INSERT INTO tblWMA (WMADistance, WMARoad, WMAWRTime, WMASex, WMAAge, WMAFactor) VALUES (50, 1, 8970, 'M', 12, 0.8996);</t>
  </si>
  <si>
    <t>INSERT INTO tblWMA (WMADistance, WMARoad, WMAWRTime, WMASex, WMAAge, WMAFactor) VALUES (50, 1, 8970, 'M', 13, 0.9256);</t>
  </si>
  <si>
    <t>INSERT INTO tblWMA (WMADistance, WMARoad, WMAWRTime, WMASex, WMAAge, WMAFactor) VALUES (50, 1, 8970, 'M', 14, 0.9476);</t>
  </si>
  <si>
    <t>INSERT INTO tblWMA (WMADistance, WMARoad, WMAWRTime, WMASex, WMAAge, WMAFactor) VALUES (50, 1, 8970, 'M', 15, 0.9656);</t>
  </si>
  <si>
    <t>INSERT INTO tblWMA (WMADistance, WMARoad, WMAWRTime, WMASex, WMAAge, WMAFactor) VALUES (50, 1, 8970, 'M', 16, 0.9796);</t>
  </si>
  <si>
    <t>INSERT INTO tblWMA (WMADistance, WMARoad, WMAWRTime, WMASex, WMAAge, WMAFactor) VALUES (50, 1, 8970, 'M', 17, 0.9916);</t>
  </si>
  <si>
    <t>INSERT INTO tblWMA (WMADistance, WMARoad, WMAWRTime, WMASex, WMAAge, WMAFactor) VALUES (50, 1, 8970, 'M', 18, 0.9993);</t>
  </si>
  <si>
    <t>INSERT INTO tblWMA (WMADistance, WMARoad, WMAWRTime, WMASex, WMAAge, WMAFactor) VALUES (50, 1, 8970, 'M', 19, 1);</t>
  </si>
  <si>
    <t>INSERT INTO tblWMA (WMADistance, WMARoad, WMAWRTime, WMASex, WMAAge, WMAFactor) VALUES (50, 1, 8970, 'M', 20, 1);</t>
  </si>
  <si>
    <t>INSERT INTO tblWMA (WMADistance, WMARoad, WMAWRTime, WMASex, WMAAge, WMAFactor) VALUES (50, 1, 8970, 'M', 21, 1);</t>
  </si>
  <si>
    <t>INSERT INTO tblWMA (WMADistance, WMARoad, WMAWRTime, WMASex, WMAAge, WMAFactor) VALUES (50, 1, 8970, 'M', 22, 1);</t>
  </si>
  <si>
    <t>INSERT INTO tblWMA (WMADistance, WMARoad, WMAWRTime, WMASex, WMAAge, WMAFactor) VALUES (50, 1, 8970, 'M', 23, 1);</t>
  </si>
  <si>
    <t>INSERT INTO tblWMA (WMADistance, WMARoad, WMAWRTime, WMASex, WMAAge, WMAFactor) VALUES (50, 1, 8970, 'M', 24, 1);</t>
  </si>
  <si>
    <t>INSERT INTO tblWMA (WMADistance, WMARoad, WMAWRTime, WMASex, WMAAge, WMAFactor) VALUES (50, 1, 8970, 'M', 25, 1);</t>
  </si>
  <si>
    <t>INSERT INTO tblWMA (WMADistance, WMARoad, WMAWRTime, WMASex, WMAAge, WMAFactor) VALUES (50, 1, 8970, 'M', 26, 1);</t>
  </si>
  <si>
    <t>INSERT INTO tblWMA (WMADistance, WMARoad, WMAWRTime, WMASex, WMAAge, WMAFactor) VALUES (50, 1, 8970, 'M', 27, 1);</t>
  </si>
  <si>
    <t>INSERT INTO tblWMA (WMADistance, WMARoad, WMAWRTime, WMASex, WMAAge, WMAFactor) VALUES (50, 1, 8970, 'M', 28, 1);</t>
  </si>
  <si>
    <t>INSERT INTO tblWMA (WMADistance, WMARoad, WMAWRTime, WMASex, WMAAge, WMAFactor) VALUES (50, 1, 8970, 'M', 29, 1);</t>
  </si>
  <si>
    <t>INSERT INTO tblWMA (WMADistance, WMARoad, WMAWRTime, WMASex, WMAAge, WMAFactor) VALUES (50, 1, 8970, 'M', 30, 1);</t>
  </si>
  <si>
    <t>INSERT INTO tblWMA (WMADistance, WMARoad, WMAWRTime, WMASex, WMAAge, WMAFactor) VALUES (50, 1, 8970, 'M', 31, 1);</t>
  </si>
  <si>
    <t>INSERT INTO tblWMA (WMADistance, WMARoad, WMAWRTime, WMASex, WMAAge, WMAFactor) VALUES (50, 1, 8970, 'M', 32, 0.9998);</t>
  </si>
  <si>
    <t>INSERT INTO tblWMA (WMADistance, WMARoad, WMAWRTime, WMASex, WMAAge, WMAFactor) VALUES (50, 1, 8970, 'M', 33, 0.9988);</t>
  </si>
  <si>
    <t>INSERT INTO tblWMA (WMADistance, WMARoad, WMAWRTime, WMASex, WMAAge, WMAFactor) VALUES (50, 1, 8970, 'M', 34, 0.9971);</t>
  </si>
  <si>
    <t>INSERT INTO tblWMA (WMADistance, WMARoad, WMAWRTime, WMASex, WMAAge, WMAFactor) VALUES (50, 1, 8970, 'M', 35, 0.9945);</t>
  </si>
  <si>
    <t>INSERT INTO tblWMA (WMADistance, WMARoad, WMAWRTime, WMASex, WMAAge, WMAFactor) VALUES (50, 1, 8970, 'M', 36, 0.9911);</t>
  </si>
  <si>
    <t>INSERT INTO tblWMA (WMADistance, WMARoad, WMAWRTime, WMASex, WMAAge, WMAFactor) VALUES (50, 1, 8970, 'M', 37, 0.987);</t>
  </si>
  <si>
    <t>INSERT INTO tblWMA (WMADistance, WMARoad, WMAWRTime, WMASex, WMAAge, WMAFactor) VALUES (50, 1, 8970, 'M', 38, 0.982);</t>
  </si>
  <si>
    <t>INSERT INTO tblWMA (WMADistance, WMARoad, WMAWRTime, WMASex, WMAAge, WMAFactor) VALUES (50, 1, 8970, 'M', 39, 0.9762);</t>
  </si>
  <si>
    <t>INSERT INTO tblWMA (WMADistance, WMARoad, WMAWRTime, WMASex, WMAAge, WMAFactor) VALUES (50, 1, 8970, 'M', 40, 0.9696);</t>
  </si>
  <si>
    <t>INSERT INTO tblWMA (WMADistance, WMARoad, WMAWRTime, WMASex, WMAAge, WMAFactor) VALUES (50, 1, 8970, 'M', 41, 0.9623);</t>
  </si>
  <si>
    <t>INSERT INTO tblWMA (WMADistance, WMARoad, WMAWRTime, WMASex, WMAAge, WMAFactor) VALUES (50, 1, 8970, 'M', 42, 0.9545);</t>
  </si>
  <si>
    <t>INSERT INTO tblWMA (WMADistance, WMARoad, WMAWRTime, WMASex, WMAAge, WMAFactor) VALUES (50, 1, 8970, 'M', 43, 0.9467);</t>
  </si>
  <si>
    <t>INSERT INTO tblWMA (WMADistance, WMARoad, WMAWRTime, WMASex, WMAAge, WMAFactor) VALUES (50, 1, 8970, 'M', 44, 0.9389);</t>
  </si>
  <si>
    <t>INSERT INTO tblWMA (WMADistance, WMARoad, WMAWRTime, WMASex, WMAAge, WMAFactor) VALUES (50, 1, 8970, 'M', 45, 0.9311);</t>
  </si>
  <si>
    <t>INSERT INTO tblWMA (WMADistance, WMARoad, WMAWRTime, WMASex, WMAAge, WMAFactor) VALUES (50, 1, 8970, 'M', 46, 0.9234);</t>
  </si>
  <si>
    <t>INSERT INTO tblWMA (WMADistance, WMARoad, WMAWRTime, WMASex, WMAAge, WMAFactor) VALUES (50, 1, 8970, 'M', 47, 0.9156);</t>
  </si>
  <si>
    <t>INSERT INTO tblWMA (WMADistance, WMARoad, WMAWRTime, WMASex, WMAAge, WMAFactor) VALUES (50, 1, 8970, 'M', 48, 0.9078);</t>
  </si>
  <si>
    <t>INSERT INTO tblWMA (WMADistance, WMARoad, WMAWRTime, WMASex, WMAAge, WMAFactor) VALUES (50, 1, 8970, 'M', 49, 0.9);</t>
  </si>
  <si>
    <t>INSERT INTO tblWMA (WMADistance, WMARoad, WMAWRTime, WMASex, WMAAge, WMAFactor) VALUES (50, 1, 8970, 'M', 50, 0.8922);</t>
  </si>
  <si>
    <t>INSERT INTO tblWMA (WMADistance, WMARoad, WMAWRTime, WMASex, WMAAge, WMAFactor) VALUES (50, 1, 8970, 'M', 51, 0.8845);</t>
  </si>
  <si>
    <t>INSERT INTO tblWMA (WMADistance, WMARoad, WMAWRTime, WMASex, WMAAge, WMAFactor) VALUES (50, 1, 8970, 'M', 52, 0.8767);</t>
  </si>
  <si>
    <t>INSERT INTO tblWMA (WMADistance, WMARoad, WMAWRTime, WMASex, WMAAge, WMAFactor) VALUES (50, 1, 8970, 'M', 53, 0.8689);</t>
  </si>
  <si>
    <t>INSERT INTO tblWMA (WMADistance, WMARoad, WMAWRTime, WMASex, WMAAge, WMAFactor) VALUES (50, 1, 8970, 'M', 54, 0.8611);</t>
  </si>
  <si>
    <t>INSERT INTO tblWMA (WMADistance, WMARoad, WMAWRTime, WMASex, WMAAge, WMAFactor) VALUES (50, 1, 8970, 'M', 55, 0.8533);</t>
  </si>
  <si>
    <t>INSERT INTO tblWMA (WMADistance, WMARoad, WMAWRTime, WMASex, WMAAge, WMAFactor) VALUES (50, 1, 8970, 'M', 56, 0.8456);</t>
  </si>
  <si>
    <t>INSERT INTO tblWMA (WMADistance, WMARoad, WMAWRTime, WMASex, WMAAge, WMAFactor) VALUES (50, 1, 8970, 'M', 57, 0.8378);</t>
  </si>
  <si>
    <t>INSERT INTO tblWMA (WMADistance, WMARoad, WMAWRTime, WMASex, WMAAge, WMAFactor) VALUES (50, 1, 8970, 'M', 58, 0.83);</t>
  </si>
  <si>
    <t>INSERT INTO tblWMA (WMADistance, WMARoad, WMAWRTime, WMASex, WMAAge, WMAFactor) VALUES (50, 1, 8970, 'M', 59, 0.8222);</t>
  </si>
  <si>
    <t>INSERT INTO tblWMA (WMADistance, WMARoad, WMAWRTime, WMASex, WMAAge, WMAFactor) VALUES (50, 1, 8970, 'M', 60, 0.8144);</t>
  </si>
  <si>
    <t>INSERT INTO tblWMA (WMADistance, WMARoad, WMAWRTime, WMASex, WMAAge, WMAFactor) VALUES (50, 1, 8970, 'M', 61, 0.8067);</t>
  </si>
  <si>
    <t>INSERT INTO tblWMA (WMADistance, WMARoad, WMAWRTime, WMASex, WMAAge, WMAFactor) VALUES (50, 1, 8970, 'M', 62, 0.7989);</t>
  </si>
  <si>
    <t>INSERT INTO tblWMA (WMADistance, WMARoad, WMAWRTime, WMASex, WMAAge, WMAFactor) VALUES (50, 1, 8970, 'M', 63, 0.7911);</t>
  </si>
  <si>
    <t>INSERT INTO tblWMA (WMADistance, WMARoad, WMAWRTime, WMASex, WMAAge, WMAFactor) VALUES (50, 1, 8970, 'M', 64, 0.7833);</t>
  </si>
  <si>
    <t>INSERT INTO tblWMA (WMADistance, WMARoad, WMAWRTime, WMASex, WMAAge, WMAFactor) VALUES (50, 1, 8970, 'M', 65, 0.7755);</t>
  </si>
  <si>
    <t>INSERT INTO tblWMA (WMADistance, WMARoad, WMAWRTime, WMASex, WMAAge, WMAFactor) VALUES (50, 1, 8970, 'M', 66, 0.7678);</t>
  </si>
  <si>
    <t>INSERT INTO tblWMA (WMADistance, WMARoad, WMAWRTime, WMASex, WMAAge, WMAFactor) VALUES (50, 1, 8970, 'M', 67, 0.76);</t>
  </si>
  <si>
    <t>INSERT INTO tblWMA (WMADistance, WMARoad, WMAWRTime, WMASex, WMAAge, WMAFactor) VALUES (50, 1, 8970, 'M', 68, 0.7522);</t>
  </si>
  <si>
    <t>INSERT INTO tblWMA (WMADistance, WMARoad, WMAWRTime, WMASex, WMAAge, WMAFactor) VALUES (50, 1, 8970, 'M', 69, 0.7444);</t>
  </si>
  <si>
    <t>INSERT INTO tblWMA (WMADistance, WMARoad, WMAWRTime, WMASex, WMAAge, WMAFactor) VALUES (50, 1, 8970, 'M', 70, 0.7366);</t>
  </si>
  <si>
    <t>INSERT INTO tblWMA (WMADistance, WMARoad, WMAWRTime, WMASex, WMAAge, WMAFactor) VALUES (50, 1, 8970, 'M', 71, 0.7286);</t>
  </si>
  <si>
    <t>INSERT INTO tblWMA (WMADistance, WMARoad, WMAWRTime, WMASex, WMAAge, WMAFactor) VALUES (50, 1, 8970, 'M', 72, 0.7198);</t>
  </si>
  <si>
    <t>INSERT INTO tblWMA (WMADistance, WMARoad, WMAWRTime, WMASex, WMAAge, WMAFactor) VALUES (50, 1, 8970, 'M', 73, 0.7104);</t>
  </si>
  <si>
    <t>INSERT INTO tblWMA (WMADistance, WMARoad, WMAWRTime, WMASex, WMAAge, WMAFactor) VALUES (50, 1, 8970, 'M', 74, 0.7002);</t>
  </si>
  <si>
    <t>INSERT INTO tblWMA (WMADistance, WMARoad, WMAWRTime, WMASex, WMAAge, WMAFactor) VALUES (50, 1, 8970, 'M', 75, 0.6893);</t>
  </si>
  <si>
    <t>INSERT INTO tblWMA (WMADistance, WMARoad, WMAWRTime, WMASex, WMAAge, WMAFactor) VALUES (50, 1, 8970, 'M', 76, 0.6778);</t>
  </si>
  <si>
    <t>INSERT INTO tblWMA (WMADistance, WMARoad, WMAWRTime, WMASex, WMAAge, WMAFactor) VALUES (50, 1, 8970, 'M', 77, 0.6655);</t>
  </si>
  <si>
    <t>INSERT INTO tblWMA (WMADistance, WMARoad, WMAWRTime, WMASex, WMAAge, WMAFactor) VALUES (50, 1, 8970, 'M', 78, 0.6526);</t>
  </si>
  <si>
    <t>INSERT INTO tblWMA (WMADistance, WMARoad, WMAWRTime, WMASex, WMAAge, WMAFactor) VALUES (50, 1, 8970, 'M', 79, 0.6389);</t>
  </si>
  <si>
    <t>INSERT INTO tblWMA (WMADistance, WMARoad, WMAWRTime, WMASex, WMAAge, WMAFactor) VALUES (50, 1, 8970, 'M', 80, 0.6245);</t>
  </si>
  <si>
    <t>INSERT INTO tblWMA (WMADistance, WMARoad, WMAWRTime, WMASex, WMAAge, WMAFactor) VALUES (50, 1, 8970, 'M', 81, 0.6095);</t>
  </si>
  <si>
    <t>INSERT INTO tblWMA (WMADistance, WMARoad, WMAWRTime, WMASex, WMAAge, WMAFactor) VALUES (50, 1, 8970, 'M', 82, 0.5937);</t>
  </si>
  <si>
    <t>INSERT INTO tblWMA (WMADistance, WMARoad, WMAWRTime, WMASex, WMAAge, WMAFactor) VALUES (50, 1, 8970, 'M', 83, 0.5773);</t>
  </si>
  <si>
    <t>INSERT INTO tblWMA (WMADistance, WMARoad, WMAWRTime, WMASex, WMAAge, WMAFactor) VALUES (50, 1, 8970, 'M', 84, 0.5601);</t>
  </si>
  <si>
    <t>INSERT INTO tblWMA (WMADistance, WMARoad, WMAWRTime, WMASex, WMAAge, WMAFactor) VALUES (50, 1, 8970, 'M', 85, 0.5422);</t>
  </si>
  <si>
    <t>INSERT INTO tblWMA (WMADistance, WMARoad, WMAWRTime, WMASex, WMAAge, WMAFactor) VALUES (50, 1, 8970, 'M', 86, 0.5237);</t>
  </si>
  <si>
    <t>INSERT INTO tblWMA (WMADistance, WMARoad, WMAWRTime, WMASex, WMAAge, WMAFactor) VALUES (50, 1, 8970, 'M', 87, 0.5044);</t>
  </si>
  <si>
    <t>INSERT INTO tblWMA (WMADistance, WMARoad, WMAWRTime, WMASex, WMAAge, WMAFactor) VALUES (50, 1, 8970, 'M', 88, 0.4845);</t>
  </si>
  <si>
    <t>INSERT INTO tblWMA (WMADistance, WMARoad, WMAWRTime, WMASex, WMAAge, WMAFactor) VALUES (50, 1, 8970, 'M', 89, 0.4638);</t>
  </si>
  <si>
    <t>INSERT INTO tblWMA (WMADistance, WMARoad, WMAWRTime, WMASex, WMAAge, WMAFactor) VALUES (50, 1, 8970, 'M', 90, 0.4424);</t>
  </si>
  <si>
    <t>INSERT INTO tblWMA (WMADistance, WMARoad, WMAWRTime, WMASex, WMAAge, WMAFactor) VALUES (50, 1, 8970, 'M', 91, 0.4204);</t>
  </si>
  <si>
    <t>INSERT INTO tblWMA (WMADistance, WMARoad, WMAWRTime, WMASex, WMAAge, WMAFactor) VALUES (50, 1, 8970, 'M', 92, 0.3976);</t>
  </si>
  <si>
    <t>INSERT INTO tblWMA (WMADistance, WMARoad, WMAWRTime, WMASex, WMAAge, WMAFactor) VALUES (50, 1, 8970, 'M', 93, 0.3742);</t>
  </si>
  <si>
    <t>INSERT INTO tblWMA (WMADistance, WMARoad, WMAWRTime, WMASex, WMAAge, WMAFactor) VALUES (50, 1, 8970, 'M', 94, 0.35);</t>
  </si>
  <si>
    <t>INSERT INTO tblWMA (WMADistance, WMARoad, WMAWRTime, WMASex, WMAAge, WMAFactor) VALUES (50, 1, 8970, 'M', 95, 0.3251);</t>
  </si>
  <si>
    <t>INSERT INTO tblWMA (WMADistance, WMARoad, WMAWRTime, WMASex, WMAAge, WMAFactor) VALUES (50, 1, 8970, 'M', 96, 0.2996);</t>
  </si>
  <si>
    <t>INSERT INTO tblWMA (WMADistance, WMARoad, WMAWRTime, WMASex, WMAAge, WMAFactor) VALUES (50, 1, 8970, 'M', 97, 0.2733);</t>
  </si>
  <si>
    <t>INSERT INTO tblWMA (WMADistance, WMARoad, WMAWRTime, WMASex, WMAAge, WMAFactor) VALUES (50, 1, 8970, 'M', 98, 0.2464);</t>
  </si>
  <si>
    <t>INSERT INTO tblWMA (WMADistance, WMARoad, WMAWRTime, WMASex, WMAAge, WMAFactor) VALUES (50, 1, 8970, 'M', 99, 0.2187);</t>
  </si>
  <si>
    <t>INSERT INTO tblWMA (WMADistance, WMARoad, WMAWRTime, WMASex, WMAAge, WMAFactor) VALUES (50, 1, 8970, 'M', 100, 0.1903);</t>
  </si>
  <si>
    <t>INSERT INTO tblWMA (WMADistance, WMARoad, WMAWRTime, WMASex, WMAAge, WMAFactor) VALUES (80.467, 1, 16080, 'M', 5, 0.6056);</t>
  </si>
  <si>
    <t>INSERT INTO tblWMA (WMADistance, WMARoad, WMAWRTime, WMASex, WMAAge, WMAFactor) VALUES (80.467, 1, 16080, 'M', 6, 0.6596);</t>
  </si>
  <si>
    <t>INSERT INTO tblWMA (WMADistance, WMARoad, WMAWRTime, WMASex, WMAAge, WMAFactor) VALUES (80.467, 1, 16080, 'M', 7, 0.7096);</t>
  </si>
  <si>
    <t>INSERT INTO tblWMA (WMADistance, WMARoad, WMAWRTime, WMASex, WMAAge, WMAFactor) VALUES (80.467, 1, 16080, 'M', 8, 0.7556);</t>
  </si>
  <si>
    <t>INSERT INTO tblWMA (WMADistance, WMARoad, WMAWRTime, WMASex, WMAAge, WMAFactor) VALUES (80.467, 1, 16080, 'M', 9, 0.7976);</t>
  </si>
  <si>
    <t>INSERT INTO tblWMA (WMADistance, WMARoad, WMAWRTime, WMASex, WMAAge, WMAFactor) VALUES (80.467, 1, 16080, 'M', 10, 0.8356);</t>
  </si>
  <si>
    <t>INSERT INTO tblWMA (WMADistance, WMARoad, WMAWRTime, WMASex, WMAAge, WMAFactor) VALUES (80.467, 1, 16080, 'M', 11, 0.8696);</t>
  </si>
  <si>
    <t>INSERT INTO tblWMA (WMADistance, WMARoad, WMAWRTime, WMASex, WMAAge, WMAFactor) VALUES (80.467, 1, 16080, 'M', 12, 0.8996);</t>
  </si>
  <si>
    <t>INSERT INTO tblWMA (WMADistance, WMARoad, WMAWRTime, WMASex, WMAAge, WMAFactor) VALUES (80.467, 1, 16080, 'M', 13, 0.9256);</t>
  </si>
  <si>
    <t>INSERT INTO tblWMA (WMADistance, WMARoad, WMAWRTime, WMASex, WMAAge, WMAFactor) VALUES (80.467, 1, 16080, 'M', 14, 0.9476);</t>
  </si>
  <si>
    <t>INSERT INTO tblWMA (WMADistance, WMARoad, WMAWRTime, WMASex, WMAAge, WMAFactor) VALUES (80.467, 1, 16080, 'M', 15, 0.9656);</t>
  </si>
  <si>
    <t>INSERT INTO tblWMA (WMADistance, WMARoad, WMAWRTime, WMASex, WMAAge, WMAFactor) VALUES (80.467, 1, 16080, 'M', 16, 0.9796);</t>
  </si>
  <si>
    <t>INSERT INTO tblWMA (WMADistance, WMARoad, WMAWRTime, WMASex, WMAAge, WMAFactor) VALUES (80.467, 1, 16080, 'M', 17, 0.9916);</t>
  </si>
  <si>
    <t>INSERT INTO tblWMA (WMADistance, WMARoad, WMAWRTime, WMASex, WMAAge, WMAFactor) VALUES (80.467, 1, 16080, 'M', 18, 0.9993);</t>
  </si>
  <si>
    <t>INSERT INTO tblWMA (WMADistance, WMARoad, WMAWRTime, WMASex, WMAAge, WMAFactor) VALUES (80.467, 1, 16080, 'M', 19, 1);</t>
  </si>
  <si>
    <t>INSERT INTO tblWMA (WMADistance, WMARoad, WMAWRTime, WMASex, WMAAge, WMAFactor) VALUES (80.467, 1, 16080, 'M', 20, 1);</t>
  </si>
  <si>
    <t>INSERT INTO tblWMA (WMADistance, WMARoad, WMAWRTime, WMASex, WMAAge, WMAFactor) VALUES (80.467, 1, 16080, 'M', 21, 1);</t>
  </si>
  <si>
    <t>INSERT INTO tblWMA (WMADistance, WMARoad, WMAWRTime, WMASex, WMAAge, WMAFactor) VALUES (80.467, 1, 16080, 'M', 22, 1);</t>
  </si>
  <si>
    <t>INSERT INTO tblWMA (WMADistance, WMARoad, WMAWRTime, WMASex, WMAAge, WMAFactor) VALUES (80.467, 1, 16080, 'M', 23, 1);</t>
  </si>
  <si>
    <t>INSERT INTO tblWMA (WMADistance, WMARoad, WMAWRTime, WMASex, WMAAge, WMAFactor) VALUES (80.467, 1, 16080, 'M', 24, 1);</t>
  </si>
  <si>
    <t>INSERT INTO tblWMA (WMADistance, WMARoad, WMAWRTime, WMASex, WMAAge, WMAFactor) VALUES (80.467, 1, 16080, 'M', 25, 1);</t>
  </si>
  <si>
    <t>INSERT INTO tblWMA (WMADistance, WMARoad, WMAWRTime, WMASex, WMAAge, WMAFactor) VALUES (80.467, 1, 16080, 'M', 26, 1);</t>
  </si>
  <si>
    <t>INSERT INTO tblWMA (WMADistance, WMARoad, WMAWRTime, WMASex, WMAAge, WMAFactor) VALUES (80.467, 1, 16080, 'M', 27, 1);</t>
  </si>
  <si>
    <t>INSERT INTO tblWMA (WMADistance, WMARoad, WMAWRTime, WMASex, WMAAge, WMAFactor) VALUES (80.467, 1, 16080, 'M', 28, 1);</t>
  </si>
  <si>
    <t>INSERT INTO tblWMA (WMADistance, WMARoad, WMAWRTime, WMASex, WMAAge, WMAFactor) VALUES (80.467, 1, 16080, 'M', 29, 1);</t>
  </si>
  <si>
    <t>INSERT INTO tblWMA (WMADistance, WMARoad, WMAWRTime, WMASex, WMAAge, WMAFactor) VALUES (80.467, 1, 16080, 'M', 30, 1);</t>
  </si>
  <si>
    <t>INSERT INTO tblWMA (WMADistance, WMARoad, WMAWRTime, WMASex, WMAAge, WMAFactor) VALUES (80.467, 1, 16080, 'M', 31, 1);</t>
  </si>
  <si>
    <t>INSERT INTO tblWMA (WMADistance, WMARoad, WMAWRTime, WMASex, WMAAge, WMAFactor) VALUES (80.467, 1, 16080, 'M', 32, 0.9998);</t>
  </si>
  <si>
    <t>INSERT INTO tblWMA (WMADistance, WMARoad, WMAWRTime, WMASex, WMAAge, WMAFactor) VALUES (80.467, 1, 16080, 'M', 33, 0.9988);</t>
  </si>
  <si>
    <t>INSERT INTO tblWMA (WMADistance, WMARoad, WMAWRTime, WMASex, WMAAge, WMAFactor) VALUES (80.467, 1, 16080, 'M', 34, 0.9971);</t>
  </si>
  <si>
    <t>INSERT INTO tblWMA (WMADistance, WMARoad, WMAWRTime, WMASex, WMAAge, WMAFactor) VALUES (80.467, 1, 16080, 'M', 35, 0.9945);</t>
  </si>
  <si>
    <t>INSERT INTO tblWMA (WMADistance, WMARoad, WMAWRTime, WMASex, WMAAge, WMAFactor) VALUES (80.467, 1, 16080, 'M', 36, 0.9911);</t>
  </si>
  <si>
    <t>INSERT INTO tblWMA (WMADistance, WMARoad, WMAWRTime, WMASex, WMAAge, WMAFactor) VALUES (80.467, 1, 16080, 'M', 37, 0.987);</t>
  </si>
  <si>
    <t>INSERT INTO tblWMA (WMADistance, WMARoad, WMAWRTime, WMASex, WMAAge, WMAFactor) VALUES (80.467, 1, 16080, 'M', 38, 0.982);</t>
  </si>
  <si>
    <t>INSERT INTO tblWMA (WMADistance, WMARoad, WMAWRTime, WMASex, WMAAge, WMAFactor) VALUES (80.467, 1, 16080, 'M', 39, 0.9762);</t>
  </si>
  <si>
    <t>INSERT INTO tblWMA (WMADistance, WMARoad, WMAWRTime, WMASex, WMAAge, WMAFactor) VALUES (80.467, 1, 16080, 'M', 40, 0.9696);</t>
  </si>
  <si>
    <t>INSERT INTO tblWMA (WMADistance, WMARoad, WMAWRTime, WMASex, WMAAge, WMAFactor) VALUES (80.467, 1, 16080, 'M', 41, 0.9623);</t>
  </si>
  <si>
    <t>INSERT INTO tblWMA (WMADistance, WMARoad, WMAWRTime, WMASex, WMAAge, WMAFactor) VALUES (80.467, 1, 16080, 'M', 42, 0.9545);</t>
  </si>
  <si>
    <t>INSERT INTO tblWMA (WMADistance, WMARoad, WMAWRTime, WMASex, WMAAge, WMAFactor) VALUES (80.467, 1, 16080, 'M', 43, 0.9467);</t>
  </si>
  <si>
    <t>INSERT INTO tblWMA (WMADistance, WMARoad, WMAWRTime, WMASex, WMAAge, WMAFactor) VALUES (80.467, 1, 16080, 'M', 44, 0.9389);</t>
  </si>
  <si>
    <t>INSERT INTO tblWMA (WMADistance, WMARoad, WMAWRTime, WMASex, WMAAge, WMAFactor) VALUES (80.467, 1, 16080, 'M', 45, 0.9311);</t>
  </si>
  <si>
    <t>INSERT INTO tblWMA (WMADistance, WMARoad, WMAWRTime, WMASex, WMAAge, WMAFactor) VALUES (80.467, 1, 16080, 'M', 46, 0.9234);</t>
  </si>
  <si>
    <t>INSERT INTO tblWMA (WMADistance, WMARoad, WMAWRTime, WMASex, WMAAge, WMAFactor) VALUES (80.467, 1, 16080, 'M', 47, 0.9156);</t>
  </si>
  <si>
    <t>INSERT INTO tblWMA (WMADistance, WMARoad, WMAWRTime, WMASex, WMAAge, WMAFactor) VALUES (80.467, 1, 16080, 'M', 48, 0.9078);</t>
  </si>
  <si>
    <t>INSERT INTO tblWMA (WMADistance, WMARoad, WMAWRTime, WMASex, WMAAge, WMAFactor) VALUES (80.467, 1, 16080, 'M', 49, 0.9);</t>
  </si>
  <si>
    <t>INSERT INTO tblWMA (WMADistance, WMARoad, WMAWRTime, WMASex, WMAAge, WMAFactor) VALUES (80.467, 1, 16080, 'M', 50, 0.8922);</t>
  </si>
  <si>
    <t>INSERT INTO tblWMA (WMADistance, WMARoad, WMAWRTime, WMASex, WMAAge, WMAFactor) VALUES (80.467, 1, 16080, 'M', 51, 0.8845);</t>
  </si>
  <si>
    <t>INSERT INTO tblWMA (WMADistance, WMARoad, WMAWRTime, WMASex, WMAAge, WMAFactor) VALUES (80.467, 1, 16080, 'M', 52, 0.8767);</t>
  </si>
  <si>
    <t>INSERT INTO tblWMA (WMADistance, WMARoad, WMAWRTime, WMASex, WMAAge, WMAFactor) VALUES (80.467, 1, 16080, 'M', 53, 0.8689);</t>
  </si>
  <si>
    <t>INSERT INTO tblWMA (WMADistance, WMARoad, WMAWRTime, WMASex, WMAAge, WMAFactor) VALUES (80.467, 1, 16080, 'M', 54, 0.8611);</t>
  </si>
  <si>
    <t>INSERT INTO tblWMA (WMADistance, WMARoad, WMAWRTime, WMASex, WMAAge, WMAFactor) VALUES (80.467, 1, 16080, 'M', 55, 0.8533);</t>
  </si>
  <si>
    <t>INSERT INTO tblWMA (WMADistance, WMARoad, WMAWRTime, WMASex, WMAAge, WMAFactor) VALUES (80.467, 1, 16080, 'M', 56, 0.8456);</t>
  </si>
  <si>
    <t>INSERT INTO tblWMA (WMADistance, WMARoad, WMAWRTime, WMASex, WMAAge, WMAFactor) VALUES (80.467, 1, 16080, 'M', 57, 0.8378);</t>
  </si>
  <si>
    <t>INSERT INTO tblWMA (WMADistance, WMARoad, WMAWRTime, WMASex, WMAAge, WMAFactor) VALUES (80.467, 1, 16080, 'M', 58, 0.83);</t>
  </si>
  <si>
    <t>INSERT INTO tblWMA (WMADistance, WMARoad, WMAWRTime, WMASex, WMAAge, WMAFactor) VALUES (80.467, 1, 16080, 'M', 59, 0.8222);</t>
  </si>
  <si>
    <t>INSERT INTO tblWMA (WMADistance, WMARoad, WMAWRTime, WMASex, WMAAge, WMAFactor) VALUES (80.467, 1, 16080, 'M', 60, 0.8144);</t>
  </si>
  <si>
    <t>INSERT INTO tblWMA (WMADistance, WMARoad, WMAWRTime, WMASex, WMAAge, WMAFactor) VALUES (80.467, 1, 16080, 'M', 61, 0.8067);</t>
  </si>
  <si>
    <t>INSERT INTO tblWMA (WMADistance, WMARoad, WMAWRTime, WMASex, WMAAge, WMAFactor) VALUES (80.467, 1, 16080, 'M', 62, 0.7989);</t>
  </si>
  <si>
    <t>INSERT INTO tblWMA (WMADistance, WMARoad, WMAWRTime, WMASex, WMAAge, WMAFactor) VALUES (80.467, 1, 16080, 'M', 63, 0.7911);</t>
  </si>
  <si>
    <t>INSERT INTO tblWMA (WMADistance, WMARoad, WMAWRTime, WMASex, WMAAge, WMAFactor) VALUES (80.467, 1, 16080, 'M', 64, 0.7833);</t>
  </si>
  <si>
    <t>INSERT INTO tblWMA (WMADistance, WMARoad, WMAWRTime, WMASex, WMAAge, WMAFactor) VALUES (80.467, 1, 16080, 'M', 65, 0.7755);</t>
  </si>
  <si>
    <t>INSERT INTO tblWMA (WMADistance, WMARoad, WMAWRTime, WMASex, WMAAge, WMAFactor) VALUES (80.467, 1, 16080, 'M', 66, 0.7678);</t>
  </si>
  <si>
    <t>INSERT INTO tblWMA (WMADistance, WMARoad, WMAWRTime, WMASex, WMAAge, WMAFactor) VALUES (80.467, 1, 16080, 'M', 67, 0.76);</t>
  </si>
  <si>
    <t>INSERT INTO tblWMA (WMADistance, WMARoad, WMAWRTime, WMASex, WMAAge, WMAFactor) VALUES (80.467, 1, 16080, 'M', 68, 0.7522);</t>
  </si>
  <si>
    <t>INSERT INTO tblWMA (WMADistance, WMARoad, WMAWRTime, WMASex, WMAAge, WMAFactor) VALUES (80.467, 1, 16080, 'M', 69, 0.7444);</t>
  </si>
  <si>
    <t>INSERT INTO tblWMA (WMADistance, WMARoad, WMAWRTime, WMASex, WMAAge, WMAFactor) VALUES (80.467, 1, 16080, 'M', 70, 0.7366);</t>
  </si>
  <si>
    <t>INSERT INTO tblWMA (WMADistance, WMARoad, WMAWRTime, WMASex, WMAAge, WMAFactor) VALUES (80.467, 1, 16080, 'M', 71, 0.7286);</t>
  </si>
  <si>
    <t>INSERT INTO tblWMA (WMADistance, WMARoad, WMAWRTime, WMASex, WMAAge, WMAFactor) VALUES (80.467, 1, 16080, 'M', 72, 0.7198);</t>
  </si>
  <si>
    <t>INSERT INTO tblWMA (WMADistance, WMARoad, WMAWRTime, WMASex, WMAAge, WMAFactor) VALUES (80.467, 1, 16080, 'M', 73, 0.7104);</t>
  </si>
  <si>
    <t>INSERT INTO tblWMA (WMADistance, WMARoad, WMAWRTime, WMASex, WMAAge, WMAFactor) VALUES (80.467, 1, 16080, 'M', 74, 0.7002);</t>
  </si>
  <si>
    <t>INSERT INTO tblWMA (WMADistance, WMARoad, WMAWRTime, WMASex, WMAAge, WMAFactor) VALUES (80.467, 1, 16080, 'M', 75, 0.6893);</t>
  </si>
  <si>
    <t>INSERT INTO tblWMA (WMADistance, WMARoad, WMAWRTime, WMASex, WMAAge, WMAFactor) VALUES (80.467, 1, 16080, 'M', 76, 0.6778);</t>
  </si>
  <si>
    <t>INSERT INTO tblWMA (WMADistance, WMARoad, WMAWRTime, WMASex, WMAAge, WMAFactor) VALUES (80.467, 1, 16080, 'M', 77, 0.6655);</t>
  </si>
  <si>
    <t>INSERT INTO tblWMA (WMADistance, WMARoad, WMAWRTime, WMASex, WMAAge, WMAFactor) VALUES (80.467, 1, 16080, 'M', 78, 0.6526);</t>
  </si>
  <si>
    <t>INSERT INTO tblWMA (WMADistance, WMARoad, WMAWRTime, WMASex, WMAAge, WMAFactor) VALUES (80.467, 1, 16080, 'M', 79, 0.6389);</t>
  </si>
  <si>
    <t>INSERT INTO tblWMA (WMADistance, WMARoad, WMAWRTime, WMASex, WMAAge, WMAFactor) VALUES (80.467, 1, 16080, 'M', 80, 0.6245);</t>
  </si>
  <si>
    <t>INSERT INTO tblWMA (WMADistance, WMARoad, WMAWRTime, WMASex, WMAAge, WMAFactor) VALUES (80.467, 1, 16080, 'M', 81, 0.6095);</t>
  </si>
  <si>
    <t>INSERT INTO tblWMA (WMADistance, WMARoad, WMAWRTime, WMASex, WMAAge, WMAFactor) VALUES (80.467, 1, 16080, 'M', 82, 0.5937);</t>
  </si>
  <si>
    <t>INSERT INTO tblWMA (WMADistance, WMARoad, WMAWRTime, WMASex, WMAAge, WMAFactor) VALUES (80.467, 1, 16080, 'M', 83, 0.5773);</t>
  </si>
  <si>
    <t>INSERT INTO tblWMA (WMADistance, WMARoad, WMAWRTime, WMASex, WMAAge, WMAFactor) VALUES (80.467, 1, 16080, 'M', 84, 0.5601);</t>
  </si>
  <si>
    <t>INSERT INTO tblWMA (WMADistance, WMARoad, WMAWRTime, WMASex, WMAAge, WMAFactor) VALUES (80.467, 1, 16080, 'M', 85, 0.5422);</t>
  </si>
  <si>
    <t>INSERT INTO tblWMA (WMADistance, WMARoad, WMAWRTime, WMASex, WMAAge, WMAFactor) VALUES (80.467, 1, 16080, 'M', 86, 0.5237);</t>
  </si>
  <si>
    <t>INSERT INTO tblWMA (WMADistance, WMARoad, WMAWRTime, WMASex, WMAAge, WMAFactor) VALUES (80.467, 1, 16080, 'M', 87, 0.5044);</t>
  </si>
  <si>
    <t>INSERT INTO tblWMA (WMADistance, WMARoad, WMAWRTime, WMASex, WMAAge, WMAFactor) VALUES (80.467, 1, 16080, 'M', 88, 0.4845);</t>
  </si>
  <si>
    <t>INSERT INTO tblWMA (WMADistance, WMARoad, WMAWRTime, WMASex, WMAAge, WMAFactor) VALUES (80.467, 1, 16080, 'M', 89, 0.4638);</t>
  </si>
  <si>
    <t>INSERT INTO tblWMA (WMADistance, WMARoad, WMAWRTime, WMASex, WMAAge, WMAFactor) VALUES (80.467, 1, 16080, 'M', 90, 0.4424);</t>
  </si>
  <si>
    <t>INSERT INTO tblWMA (WMADistance, WMARoad, WMAWRTime, WMASex, WMAAge, WMAFactor) VALUES (80.467, 1, 16080, 'M', 91, 0.4204);</t>
  </si>
  <si>
    <t>INSERT INTO tblWMA (WMADistance, WMARoad, WMAWRTime, WMASex, WMAAge, WMAFactor) VALUES (80.467, 1, 16080, 'M', 92, 0.3976);</t>
  </si>
  <si>
    <t>INSERT INTO tblWMA (WMADistance, WMARoad, WMAWRTime, WMASex, WMAAge, WMAFactor) VALUES (80.467, 1, 16080, 'M', 93, 0.3742);</t>
  </si>
  <si>
    <t>INSERT INTO tblWMA (WMADistance, WMARoad, WMAWRTime, WMASex, WMAAge, WMAFactor) VALUES (80.467, 1, 16080, 'M', 94, 0.35);</t>
  </si>
  <si>
    <t>INSERT INTO tblWMA (WMADistance, WMARoad, WMAWRTime, WMASex, WMAAge, WMAFactor) VALUES (80.467, 1, 16080, 'M', 95, 0.3251);</t>
  </si>
  <si>
    <t>INSERT INTO tblWMA (WMADistance, WMARoad, WMAWRTime, WMASex, WMAAge, WMAFactor) VALUES (80.467, 1, 16080, 'M', 96, 0.2996);</t>
  </si>
  <si>
    <t>INSERT INTO tblWMA (WMADistance, WMARoad, WMAWRTime, WMASex, WMAAge, WMAFactor) VALUES (80.467, 1, 16080, 'M', 97, 0.2733);</t>
  </si>
  <si>
    <t>INSERT INTO tblWMA (WMADistance, WMARoad, WMAWRTime, WMASex, WMAAge, WMAFactor) VALUES (80.467, 1, 16080, 'M', 98, 0.2464);</t>
  </si>
  <si>
    <t>INSERT INTO tblWMA (WMADistance, WMARoad, WMAWRTime, WMASex, WMAAge, WMAFactor) VALUES (80.467, 1, 16080, 'M', 99, 0.2187);</t>
  </si>
  <si>
    <t>INSERT INTO tblWMA (WMADistance, WMARoad, WMAWRTime, WMASex, WMAAge, WMAFactor) VALUES (80.467, 1, 16080, 'M', 100, 0.1903);</t>
  </si>
  <si>
    <t>INSERT INTO tblWMA (WMADistance, WMARoad, WMAWRTime, WMASex, WMAAge, WMAFactor) VALUES (100, 1, 21360, 'M', 5, 0.6056);</t>
  </si>
  <si>
    <t>INSERT INTO tblWMA (WMADistance, WMARoad, WMAWRTime, WMASex, WMAAge, WMAFactor) VALUES (100, 1, 21360, 'M', 6, 0.6596);</t>
  </si>
  <si>
    <t>INSERT INTO tblWMA (WMADistance, WMARoad, WMAWRTime, WMASex, WMAAge, WMAFactor) VALUES (100, 1, 21360, 'M', 7, 0.7096);</t>
  </si>
  <si>
    <t>INSERT INTO tblWMA (WMADistance, WMARoad, WMAWRTime, WMASex, WMAAge, WMAFactor) VALUES (100, 1, 21360, 'M', 8, 0.7556);</t>
  </si>
  <si>
    <t>INSERT INTO tblWMA (WMADistance, WMARoad, WMAWRTime, WMASex, WMAAge, WMAFactor) VALUES (100, 1, 21360, 'M', 9, 0.7976);</t>
  </si>
  <si>
    <t>INSERT INTO tblWMA (WMADistance, WMARoad, WMAWRTime, WMASex, WMAAge, WMAFactor) VALUES (100, 1, 21360, 'M', 10, 0.8356);</t>
  </si>
  <si>
    <t>INSERT INTO tblWMA (WMADistance, WMARoad, WMAWRTime, WMASex, WMAAge, WMAFactor) VALUES (100, 1, 21360, 'M', 11, 0.8696);</t>
  </si>
  <si>
    <t>INSERT INTO tblWMA (WMADistance, WMARoad, WMAWRTime, WMASex, WMAAge, WMAFactor) VALUES (100, 1, 21360, 'M', 12, 0.8996);</t>
  </si>
  <si>
    <t>INSERT INTO tblWMA (WMADistance, WMARoad, WMAWRTime, WMASex, WMAAge, WMAFactor) VALUES (100, 1, 21360, 'M', 13, 0.9256);</t>
  </si>
  <si>
    <t>INSERT INTO tblWMA (WMADistance, WMARoad, WMAWRTime, WMASex, WMAAge, WMAFactor) VALUES (100, 1, 21360, 'M', 14, 0.9476);</t>
  </si>
  <si>
    <t>INSERT INTO tblWMA (WMADistance, WMARoad, WMAWRTime, WMASex, WMAAge, WMAFactor) VALUES (100, 1, 21360, 'M', 15, 0.9656);</t>
  </si>
  <si>
    <t>INSERT INTO tblWMA (WMADistance, WMARoad, WMAWRTime, WMASex, WMAAge, WMAFactor) VALUES (100, 1, 21360, 'M', 16, 0.9796);</t>
  </si>
  <si>
    <t>INSERT INTO tblWMA (WMADistance, WMARoad, WMAWRTime, WMASex, WMAAge, WMAFactor) VALUES (100, 1, 21360, 'M', 17, 0.9916);</t>
  </si>
  <si>
    <t>INSERT INTO tblWMA (WMADistance, WMARoad, WMAWRTime, WMASex, WMAAge, WMAFactor) VALUES (100, 1, 21360, 'M', 18, 0.9993);</t>
  </si>
  <si>
    <t>INSERT INTO tblWMA (WMADistance, WMARoad, WMAWRTime, WMASex, WMAAge, WMAFactor) VALUES (100, 1, 21360, 'M', 19, 1);</t>
  </si>
  <si>
    <t>INSERT INTO tblWMA (WMADistance, WMARoad, WMAWRTime, WMASex, WMAAge, WMAFactor) VALUES (100, 1, 21360, 'M', 20, 1);</t>
  </si>
  <si>
    <t>INSERT INTO tblWMA (WMADistance, WMARoad, WMAWRTime, WMASex, WMAAge, WMAFactor) VALUES (100, 1, 21360, 'M', 21, 1);</t>
  </si>
  <si>
    <t>INSERT INTO tblWMA (WMADistance, WMARoad, WMAWRTime, WMASex, WMAAge, WMAFactor) VALUES (100, 1, 21360, 'M', 22, 1);</t>
  </si>
  <si>
    <t>INSERT INTO tblWMA (WMADistance, WMARoad, WMAWRTime, WMASex, WMAAge, WMAFactor) VALUES (100, 1, 21360, 'M', 23, 1);</t>
  </si>
  <si>
    <t>INSERT INTO tblWMA (WMADistance, WMARoad, WMAWRTime, WMASex, WMAAge, WMAFactor) VALUES (100, 1, 21360, 'M', 24, 1);</t>
  </si>
  <si>
    <t>INSERT INTO tblWMA (WMADistance, WMARoad, WMAWRTime, WMASex, WMAAge, WMAFactor) VALUES (100, 1, 21360, 'M', 25, 1);</t>
  </si>
  <si>
    <t>INSERT INTO tblWMA (WMADistance, WMARoad, WMAWRTime, WMASex, WMAAge, WMAFactor) VALUES (100, 1, 21360, 'M', 26, 1);</t>
  </si>
  <si>
    <t>INSERT INTO tblWMA (WMADistance, WMARoad, WMAWRTime, WMASex, WMAAge, WMAFactor) VALUES (100, 1, 21360, 'M', 27, 1);</t>
  </si>
  <si>
    <t>INSERT INTO tblWMA (WMADistance, WMARoad, WMAWRTime, WMASex, WMAAge, WMAFactor) VALUES (100, 1, 21360, 'M', 28, 1);</t>
  </si>
  <si>
    <t>INSERT INTO tblWMA (WMADistance, WMARoad, WMAWRTime, WMASex, WMAAge, WMAFactor) VALUES (100, 1, 21360, 'M', 29, 1);</t>
  </si>
  <si>
    <t>INSERT INTO tblWMA (WMADistance, WMARoad, WMAWRTime, WMASex, WMAAge, WMAFactor) VALUES (100, 1, 21360, 'M', 30, 1);</t>
  </si>
  <si>
    <t>INSERT INTO tblWMA (WMADistance, WMARoad, WMAWRTime, WMASex, WMAAge, WMAFactor) VALUES (100, 1, 21360, 'M', 31, 1);</t>
  </si>
  <si>
    <t>INSERT INTO tblWMA (WMADistance, WMARoad, WMAWRTime, WMASex, WMAAge, WMAFactor) VALUES (100, 1, 21360, 'M', 32, 0.9998);</t>
  </si>
  <si>
    <t>INSERT INTO tblWMA (WMADistance, WMARoad, WMAWRTime, WMASex, WMAAge, WMAFactor) VALUES (100, 1, 21360, 'M', 33, 0.9988);</t>
  </si>
  <si>
    <t>INSERT INTO tblWMA (WMADistance, WMARoad, WMAWRTime, WMASex, WMAAge, WMAFactor) VALUES (100, 1, 21360, 'M', 34, 0.9971);</t>
  </si>
  <si>
    <t>INSERT INTO tblWMA (WMADistance, WMARoad, WMAWRTime, WMASex, WMAAge, WMAFactor) VALUES (100, 1, 21360, 'M', 35, 0.9945);</t>
  </si>
  <si>
    <t>INSERT INTO tblWMA (WMADistance, WMARoad, WMAWRTime, WMASex, WMAAge, WMAFactor) VALUES (100, 1, 21360, 'M', 36, 0.9911);</t>
  </si>
  <si>
    <t>INSERT INTO tblWMA (WMADistance, WMARoad, WMAWRTime, WMASex, WMAAge, WMAFactor) VALUES (100, 1, 21360, 'M', 37, 0.987);</t>
  </si>
  <si>
    <t>INSERT INTO tblWMA (WMADistance, WMARoad, WMAWRTime, WMASex, WMAAge, WMAFactor) VALUES (100, 1, 21360, 'M', 38, 0.982);</t>
  </si>
  <si>
    <t>INSERT INTO tblWMA (WMADistance, WMARoad, WMAWRTime, WMASex, WMAAge, WMAFactor) VALUES (100, 1, 21360, 'M', 39, 0.9762);</t>
  </si>
  <si>
    <t>INSERT INTO tblWMA (WMADistance, WMARoad, WMAWRTime, WMASex, WMAAge, WMAFactor) VALUES (100, 1, 21360, 'M', 40, 0.9696);</t>
  </si>
  <si>
    <t>INSERT INTO tblWMA (WMADistance, WMARoad, WMAWRTime, WMASex, WMAAge, WMAFactor) VALUES (100, 1, 21360, 'M', 41, 0.9623);</t>
  </si>
  <si>
    <t>INSERT INTO tblWMA (WMADistance, WMARoad, WMAWRTime, WMASex, WMAAge, WMAFactor) VALUES (100, 1, 21360, 'M', 42, 0.9545);</t>
  </si>
  <si>
    <t>INSERT INTO tblWMA (WMADistance, WMARoad, WMAWRTime, WMASex, WMAAge, WMAFactor) VALUES (100, 1, 21360, 'M', 43, 0.9467);</t>
  </si>
  <si>
    <t>INSERT INTO tblWMA (WMADistance, WMARoad, WMAWRTime, WMASex, WMAAge, WMAFactor) VALUES (100, 1, 21360, 'M', 44, 0.9389);</t>
  </si>
  <si>
    <t>INSERT INTO tblWMA (WMADistance, WMARoad, WMAWRTime, WMASex, WMAAge, WMAFactor) VALUES (100, 1, 21360, 'M', 45, 0.9311);</t>
  </si>
  <si>
    <t>INSERT INTO tblWMA (WMADistance, WMARoad, WMAWRTime, WMASex, WMAAge, WMAFactor) VALUES (100, 1, 21360, 'M', 46, 0.9234);</t>
  </si>
  <si>
    <t>INSERT INTO tblWMA (WMADistance, WMARoad, WMAWRTime, WMASex, WMAAge, WMAFactor) VALUES (100, 1, 21360, 'M', 47, 0.9156);</t>
  </si>
  <si>
    <t>INSERT INTO tblWMA (WMADistance, WMARoad, WMAWRTime, WMASex, WMAAge, WMAFactor) VALUES (100, 1, 21360, 'M', 48, 0.9078);</t>
  </si>
  <si>
    <t>INSERT INTO tblWMA (WMADistance, WMARoad, WMAWRTime, WMASex, WMAAge, WMAFactor) VALUES (100, 1, 21360, 'M', 49, 0.9);</t>
  </si>
  <si>
    <t>INSERT INTO tblWMA (WMADistance, WMARoad, WMAWRTime, WMASex, WMAAge, WMAFactor) VALUES (100, 1, 21360, 'M', 50, 0.8922);</t>
  </si>
  <si>
    <t>INSERT INTO tblWMA (WMADistance, WMARoad, WMAWRTime, WMASex, WMAAge, WMAFactor) VALUES (100, 1, 21360, 'M', 51, 0.8845);</t>
  </si>
  <si>
    <t>INSERT INTO tblWMA (WMADistance, WMARoad, WMAWRTime, WMASex, WMAAge, WMAFactor) VALUES (100, 1, 21360, 'M', 52, 0.8767);</t>
  </si>
  <si>
    <t>INSERT INTO tblWMA (WMADistance, WMARoad, WMAWRTime, WMASex, WMAAge, WMAFactor) VALUES (100, 1, 21360, 'M', 53, 0.8689);</t>
  </si>
  <si>
    <t>INSERT INTO tblWMA (WMADistance, WMARoad, WMAWRTime, WMASex, WMAAge, WMAFactor) VALUES (100, 1, 21360, 'M', 54, 0.8611);</t>
  </si>
  <si>
    <t>INSERT INTO tblWMA (WMADistance, WMARoad, WMAWRTime, WMASex, WMAAge, WMAFactor) VALUES (100, 1, 21360, 'M', 55, 0.8533);</t>
  </si>
  <si>
    <t>INSERT INTO tblWMA (WMADistance, WMARoad, WMAWRTime, WMASex, WMAAge, WMAFactor) VALUES (100, 1, 21360, 'M', 56, 0.8456);</t>
  </si>
  <si>
    <t>INSERT INTO tblWMA (WMADistance, WMARoad, WMAWRTime, WMASex, WMAAge, WMAFactor) VALUES (100, 1, 21360, 'M', 57, 0.8378);</t>
  </si>
  <si>
    <t>INSERT INTO tblWMA (WMADistance, WMARoad, WMAWRTime, WMASex, WMAAge, WMAFactor) VALUES (100, 1, 21360, 'M', 58, 0.83);</t>
  </si>
  <si>
    <t>INSERT INTO tblWMA (WMADistance, WMARoad, WMAWRTime, WMASex, WMAAge, WMAFactor) VALUES (100, 1, 21360, 'M', 59, 0.8222);</t>
  </si>
  <si>
    <t>INSERT INTO tblWMA (WMADistance, WMARoad, WMAWRTime, WMASex, WMAAge, WMAFactor) VALUES (100, 1, 21360, 'M', 60, 0.8144);</t>
  </si>
  <si>
    <t>INSERT INTO tblWMA (WMADistance, WMARoad, WMAWRTime, WMASex, WMAAge, WMAFactor) VALUES (100, 1, 21360, 'M', 61, 0.8067);</t>
  </si>
  <si>
    <t>INSERT INTO tblWMA (WMADistance, WMARoad, WMAWRTime, WMASex, WMAAge, WMAFactor) VALUES (100, 1, 21360, 'M', 62, 0.7989);</t>
  </si>
  <si>
    <t>INSERT INTO tblWMA (WMADistance, WMARoad, WMAWRTime, WMASex, WMAAge, WMAFactor) VALUES (100, 1, 21360, 'M', 63, 0.7911);</t>
  </si>
  <si>
    <t>INSERT INTO tblWMA (WMADistance, WMARoad, WMAWRTime, WMASex, WMAAge, WMAFactor) VALUES (100, 1, 21360, 'M', 64, 0.7833);</t>
  </si>
  <si>
    <t>INSERT INTO tblWMA (WMADistance, WMARoad, WMAWRTime, WMASex, WMAAge, WMAFactor) VALUES (100, 1, 21360, 'M', 65, 0.7755);</t>
  </si>
  <si>
    <t>INSERT INTO tblWMA (WMADistance, WMARoad, WMAWRTime, WMASex, WMAAge, WMAFactor) VALUES (100, 1, 21360, 'M', 66, 0.7678);</t>
  </si>
  <si>
    <t>INSERT INTO tblWMA (WMADistance, WMARoad, WMAWRTime, WMASex, WMAAge, WMAFactor) VALUES (100, 1, 21360, 'M', 67, 0.76);</t>
  </si>
  <si>
    <t>INSERT INTO tblWMA (WMADistance, WMARoad, WMAWRTime, WMASex, WMAAge, WMAFactor) VALUES (100, 1, 21360, 'M', 68, 0.7522);</t>
  </si>
  <si>
    <t>INSERT INTO tblWMA (WMADistance, WMARoad, WMAWRTime, WMASex, WMAAge, WMAFactor) VALUES (100, 1, 21360, 'M', 69, 0.7444);</t>
  </si>
  <si>
    <t>INSERT INTO tblWMA (WMADistance, WMARoad, WMAWRTime, WMASex, WMAAge, WMAFactor) VALUES (100, 1, 21360, 'M', 70, 0.7366);</t>
  </si>
  <si>
    <t>INSERT INTO tblWMA (WMADistance, WMARoad, WMAWRTime, WMASex, WMAAge, WMAFactor) VALUES (100, 1, 21360, 'M', 71, 0.7286);</t>
  </si>
  <si>
    <t>INSERT INTO tblWMA (WMADistance, WMARoad, WMAWRTime, WMASex, WMAAge, WMAFactor) VALUES (100, 1, 21360, 'M', 72, 0.7198);</t>
  </si>
  <si>
    <t>INSERT INTO tblWMA (WMADistance, WMARoad, WMAWRTime, WMASex, WMAAge, WMAFactor) VALUES (100, 1, 21360, 'M', 73, 0.7104);</t>
  </si>
  <si>
    <t>INSERT INTO tblWMA (WMADistance, WMARoad, WMAWRTime, WMASex, WMAAge, WMAFactor) VALUES (100, 1, 21360, 'M', 74, 0.7002);</t>
  </si>
  <si>
    <t>INSERT INTO tblWMA (WMADistance, WMARoad, WMAWRTime, WMASex, WMAAge, WMAFactor) VALUES (100, 1, 21360, 'M', 75, 0.6893);</t>
  </si>
  <si>
    <t>INSERT INTO tblWMA (WMADistance, WMARoad, WMAWRTime, WMASex, WMAAge, WMAFactor) VALUES (100, 1, 21360, 'M', 76, 0.6778);</t>
  </si>
  <si>
    <t>INSERT INTO tblWMA (WMADistance, WMARoad, WMAWRTime, WMASex, WMAAge, WMAFactor) VALUES (100, 1, 21360, 'M', 77, 0.6655);</t>
  </si>
  <si>
    <t>INSERT INTO tblWMA (WMADistance, WMARoad, WMAWRTime, WMASex, WMAAge, WMAFactor) VALUES (100, 1, 21360, 'M', 78, 0.6526);</t>
  </si>
  <si>
    <t>INSERT INTO tblWMA (WMADistance, WMARoad, WMAWRTime, WMASex, WMAAge, WMAFactor) VALUES (100, 1, 21360, 'M', 79, 0.6389);</t>
  </si>
  <si>
    <t>INSERT INTO tblWMA (WMADistance, WMARoad, WMAWRTime, WMASex, WMAAge, WMAFactor) VALUES (100, 1, 21360, 'M', 80, 0.6245);</t>
  </si>
  <si>
    <t>INSERT INTO tblWMA (WMADistance, WMARoad, WMAWRTime, WMASex, WMAAge, WMAFactor) VALUES (100, 1, 21360, 'M', 81, 0.6095);</t>
  </si>
  <si>
    <t>INSERT INTO tblWMA (WMADistance, WMARoad, WMAWRTime, WMASex, WMAAge, WMAFactor) VALUES (100, 1, 21360, 'M', 82, 0.5937);</t>
  </si>
  <si>
    <t>INSERT INTO tblWMA (WMADistance, WMARoad, WMAWRTime, WMASex, WMAAge, WMAFactor) VALUES (100, 1, 21360, 'M', 83, 0.5773);</t>
  </si>
  <si>
    <t>INSERT INTO tblWMA (WMADistance, WMARoad, WMAWRTime, WMASex, WMAAge, WMAFactor) VALUES (100, 1, 21360, 'M', 84, 0.5601);</t>
  </si>
  <si>
    <t>INSERT INTO tblWMA (WMADistance, WMARoad, WMAWRTime, WMASex, WMAAge, WMAFactor) VALUES (100, 1, 21360, 'M', 85, 0.5422);</t>
  </si>
  <si>
    <t>INSERT INTO tblWMA (WMADistance, WMARoad, WMAWRTime, WMASex, WMAAge, WMAFactor) VALUES (100, 1, 21360, 'M', 86, 0.5237);</t>
  </si>
  <si>
    <t>INSERT INTO tblWMA (WMADistance, WMARoad, WMAWRTime, WMASex, WMAAge, WMAFactor) VALUES (100, 1, 21360, 'M', 87, 0.5044);</t>
  </si>
  <si>
    <t>INSERT INTO tblWMA (WMADistance, WMARoad, WMAWRTime, WMASex, WMAAge, WMAFactor) VALUES (100, 1, 21360, 'M', 88, 0.4845);</t>
  </si>
  <si>
    <t>INSERT INTO tblWMA (WMADistance, WMARoad, WMAWRTime, WMASex, WMAAge, WMAFactor) VALUES (100, 1, 21360, 'M', 89, 0.4638);</t>
  </si>
  <si>
    <t>INSERT INTO tblWMA (WMADistance, WMARoad, WMAWRTime, WMASex, WMAAge, WMAFactor) VALUES (100, 1, 21360, 'M', 90, 0.4424);</t>
  </si>
  <si>
    <t>INSERT INTO tblWMA (WMADistance, WMARoad, WMAWRTime, WMASex, WMAAge, WMAFactor) VALUES (100, 1, 21360, 'M', 91, 0.4204);</t>
  </si>
  <si>
    <t>INSERT INTO tblWMA (WMADistance, WMARoad, WMAWRTime, WMASex, WMAAge, WMAFactor) VALUES (100, 1, 21360, 'M', 92, 0.3976);</t>
  </si>
  <si>
    <t>INSERT INTO tblWMA (WMADistance, WMARoad, WMAWRTime, WMASex, WMAAge, WMAFactor) VALUES (100, 1, 21360, 'M', 93, 0.3742);</t>
  </si>
  <si>
    <t>INSERT INTO tblWMA (WMADistance, WMARoad, WMAWRTime, WMASex, WMAAge, WMAFactor) VALUES (100, 1, 21360, 'M', 94, 0.35);</t>
  </si>
  <si>
    <t>INSERT INTO tblWMA (WMADistance, WMARoad, WMAWRTime, WMASex, WMAAge, WMAFactor) VALUES (100, 1, 21360, 'M', 95, 0.3251);</t>
  </si>
  <si>
    <t>INSERT INTO tblWMA (WMADistance, WMARoad, WMAWRTime, WMASex, WMAAge, WMAFactor) VALUES (100, 1, 21360, 'M', 96, 0.2996);</t>
  </si>
  <si>
    <t>INSERT INTO tblWMA (WMADistance, WMARoad, WMAWRTime, WMASex, WMAAge, WMAFactor) VALUES (100, 1, 21360, 'M', 97, 0.2733);</t>
  </si>
  <si>
    <t>INSERT INTO tblWMA (WMADistance, WMARoad, WMAWRTime, WMASex, WMAAge, WMAFactor) VALUES (100, 1, 21360, 'M', 98, 0.2464);</t>
  </si>
  <si>
    <t>INSERT INTO tblWMA (WMADistance, WMARoad, WMAWRTime, WMASex, WMAAge, WMAFactor) VALUES (100, 1, 21360, 'M', 99, 0.2187);</t>
  </si>
  <si>
    <t>INSERT INTO tblWMA (WMADistance, WMARoad, WMAWRTime, WMASex, WMAAge, WMAFactor) VALUES (100, 1, 21360, 'M', 100, 0.1903);</t>
  </si>
  <si>
    <t>INSERT INTO tblWMA (WMADistance, WMARoad, WMAWRTime, WMASex, WMAAge, WMAFactor) VALUES (150, 1, 36300, 'M', 5, 0.6056);</t>
  </si>
  <si>
    <t>INSERT INTO tblWMA (WMADistance, WMARoad, WMAWRTime, WMASex, WMAAge, WMAFactor) VALUES (150, 1, 36300, 'M', 6, 0.6596);</t>
  </si>
  <si>
    <t>INSERT INTO tblWMA (WMADistance, WMARoad, WMAWRTime, WMASex, WMAAge, WMAFactor) VALUES (150, 1, 36300, 'M', 7, 0.7096);</t>
  </si>
  <si>
    <t>INSERT INTO tblWMA (WMADistance, WMARoad, WMAWRTime, WMASex, WMAAge, WMAFactor) VALUES (150, 1, 36300, 'M', 8, 0.7556);</t>
  </si>
  <si>
    <t>INSERT INTO tblWMA (WMADistance, WMARoad, WMAWRTime, WMASex, WMAAge, WMAFactor) VALUES (150, 1, 36300, 'M', 9, 0.7976);</t>
  </si>
  <si>
    <t>INSERT INTO tblWMA (WMADistance, WMARoad, WMAWRTime, WMASex, WMAAge, WMAFactor) VALUES (150, 1, 36300, 'M', 10, 0.8356);</t>
  </si>
  <si>
    <t>INSERT INTO tblWMA (WMADistance, WMARoad, WMAWRTime, WMASex, WMAAge, WMAFactor) VALUES (150, 1, 36300, 'M', 11, 0.8696);</t>
  </si>
  <si>
    <t>INSERT INTO tblWMA (WMADistance, WMARoad, WMAWRTime, WMASex, WMAAge, WMAFactor) VALUES (150, 1, 36300, 'M', 12, 0.8996);</t>
  </si>
  <si>
    <t>INSERT INTO tblWMA (WMADistance, WMARoad, WMAWRTime, WMASex, WMAAge, WMAFactor) VALUES (150, 1, 36300, 'M', 13, 0.9256);</t>
  </si>
  <si>
    <t>INSERT INTO tblWMA (WMADistance, WMARoad, WMAWRTime, WMASex, WMAAge, WMAFactor) VALUES (150, 1, 36300, 'M', 14, 0.9476);</t>
  </si>
  <si>
    <t>INSERT INTO tblWMA (WMADistance, WMARoad, WMAWRTime, WMASex, WMAAge, WMAFactor) VALUES (150, 1, 36300, 'M', 15, 0.9656);</t>
  </si>
  <si>
    <t>INSERT INTO tblWMA (WMADistance, WMARoad, WMAWRTime, WMASex, WMAAge, WMAFactor) VALUES (150, 1, 36300, 'M', 16, 0.9796);</t>
  </si>
  <si>
    <t>INSERT INTO tblWMA (WMADistance, WMARoad, WMAWRTime, WMASex, WMAAge, WMAFactor) VALUES (150, 1, 36300, 'M', 17, 0.9916);</t>
  </si>
  <si>
    <t>INSERT INTO tblWMA (WMADistance, WMARoad, WMAWRTime, WMASex, WMAAge, WMAFactor) VALUES (150, 1, 36300, 'M', 18, 0.9993);</t>
  </si>
  <si>
    <t>INSERT INTO tblWMA (WMADistance, WMARoad, WMAWRTime, WMASex, WMAAge, WMAFactor) VALUES (150, 1, 36300, 'M', 19, 1);</t>
  </si>
  <si>
    <t>INSERT INTO tblWMA (WMADistance, WMARoad, WMAWRTime, WMASex, WMAAge, WMAFactor) VALUES (150, 1, 36300, 'M', 20, 1);</t>
  </si>
  <si>
    <t>INSERT INTO tblWMA (WMADistance, WMARoad, WMAWRTime, WMASex, WMAAge, WMAFactor) VALUES (150, 1, 36300, 'M', 21, 1);</t>
  </si>
  <si>
    <t>INSERT INTO tblWMA (WMADistance, WMARoad, WMAWRTime, WMASex, WMAAge, WMAFactor) VALUES (150, 1, 36300, 'M', 22, 1);</t>
  </si>
  <si>
    <t>INSERT INTO tblWMA (WMADistance, WMARoad, WMAWRTime, WMASex, WMAAge, WMAFactor) VALUES (150, 1, 36300, 'M', 23, 1);</t>
  </si>
  <si>
    <t>INSERT INTO tblWMA (WMADistance, WMARoad, WMAWRTime, WMASex, WMAAge, WMAFactor) VALUES (150, 1, 36300, 'M', 24, 1);</t>
  </si>
  <si>
    <t>INSERT INTO tblWMA (WMADistance, WMARoad, WMAWRTime, WMASex, WMAAge, WMAFactor) VALUES (150, 1, 36300, 'M', 25, 1);</t>
  </si>
  <si>
    <t>INSERT INTO tblWMA (WMADistance, WMARoad, WMAWRTime, WMASex, WMAAge, WMAFactor) VALUES (150, 1, 36300, 'M', 26, 1);</t>
  </si>
  <si>
    <t>INSERT INTO tblWMA (WMADistance, WMARoad, WMAWRTime, WMASex, WMAAge, WMAFactor) VALUES (150, 1, 36300, 'M', 27, 1);</t>
  </si>
  <si>
    <t>INSERT INTO tblWMA (WMADistance, WMARoad, WMAWRTime, WMASex, WMAAge, WMAFactor) VALUES (150, 1, 36300, 'M', 28, 1);</t>
  </si>
  <si>
    <t>INSERT INTO tblWMA (WMADistance, WMARoad, WMAWRTime, WMASex, WMAAge, WMAFactor) VALUES (150, 1, 36300, 'M', 29, 1);</t>
  </si>
  <si>
    <t>INSERT INTO tblWMA (WMADistance, WMARoad, WMAWRTime, WMASex, WMAAge, WMAFactor) VALUES (150, 1, 36300, 'M', 30, 1);</t>
  </si>
  <si>
    <t>INSERT INTO tblWMA (WMADistance, WMARoad, WMAWRTime, WMASex, WMAAge, WMAFactor) VALUES (150, 1, 36300, 'M', 31, 1);</t>
  </si>
  <si>
    <t>INSERT INTO tblWMA (WMADistance, WMARoad, WMAWRTime, WMASex, WMAAge, WMAFactor) VALUES (150, 1, 36300, 'M', 32, 0.9998);</t>
  </si>
  <si>
    <t>INSERT INTO tblWMA (WMADistance, WMARoad, WMAWRTime, WMASex, WMAAge, WMAFactor) VALUES (150, 1, 36300, 'M', 33, 0.9988);</t>
  </si>
  <si>
    <t>INSERT INTO tblWMA (WMADistance, WMARoad, WMAWRTime, WMASex, WMAAge, WMAFactor) VALUES (150, 1, 36300, 'M', 34, 0.9971);</t>
  </si>
  <si>
    <t>INSERT INTO tblWMA (WMADistance, WMARoad, WMAWRTime, WMASex, WMAAge, WMAFactor) VALUES (150, 1, 36300, 'M', 35, 0.9945);</t>
  </si>
  <si>
    <t>INSERT INTO tblWMA (WMADistance, WMARoad, WMAWRTime, WMASex, WMAAge, WMAFactor) VALUES (150, 1, 36300, 'M', 36, 0.9911);</t>
  </si>
  <si>
    <t>INSERT INTO tblWMA (WMADistance, WMARoad, WMAWRTime, WMASex, WMAAge, WMAFactor) VALUES (150, 1, 36300, 'M', 37, 0.987);</t>
  </si>
  <si>
    <t>INSERT INTO tblWMA (WMADistance, WMARoad, WMAWRTime, WMASex, WMAAge, WMAFactor) VALUES (150, 1, 36300, 'M', 38, 0.982);</t>
  </si>
  <si>
    <t>INSERT INTO tblWMA (WMADistance, WMARoad, WMAWRTime, WMASex, WMAAge, WMAFactor) VALUES (150, 1, 36300, 'M', 39, 0.9762);</t>
  </si>
  <si>
    <t>INSERT INTO tblWMA (WMADistance, WMARoad, WMAWRTime, WMASex, WMAAge, WMAFactor) VALUES (150, 1, 36300, 'M', 40, 0.9696);</t>
  </si>
  <si>
    <t>INSERT INTO tblWMA (WMADistance, WMARoad, WMAWRTime, WMASex, WMAAge, WMAFactor) VALUES (150, 1, 36300, 'M', 41, 0.9623);</t>
  </si>
  <si>
    <t>INSERT INTO tblWMA (WMADistance, WMARoad, WMAWRTime, WMASex, WMAAge, WMAFactor) VALUES (150, 1, 36300, 'M', 42, 0.9545);</t>
  </si>
  <si>
    <t>INSERT INTO tblWMA (WMADistance, WMARoad, WMAWRTime, WMASex, WMAAge, WMAFactor) VALUES (150, 1, 36300, 'M', 43, 0.9467);</t>
  </si>
  <si>
    <t>INSERT INTO tblWMA (WMADistance, WMARoad, WMAWRTime, WMASex, WMAAge, WMAFactor) VALUES (150, 1, 36300, 'M', 44, 0.9389);</t>
  </si>
  <si>
    <t>INSERT INTO tblWMA (WMADistance, WMARoad, WMAWRTime, WMASex, WMAAge, WMAFactor) VALUES (150, 1, 36300, 'M', 45, 0.9311);</t>
  </si>
  <si>
    <t>INSERT INTO tblWMA (WMADistance, WMARoad, WMAWRTime, WMASex, WMAAge, WMAFactor) VALUES (150, 1, 36300, 'M', 46, 0.9234);</t>
  </si>
  <si>
    <t>INSERT INTO tblWMA (WMADistance, WMARoad, WMAWRTime, WMASex, WMAAge, WMAFactor) VALUES (150, 1, 36300, 'M', 47, 0.9156);</t>
  </si>
  <si>
    <t>INSERT INTO tblWMA (WMADistance, WMARoad, WMAWRTime, WMASex, WMAAge, WMAFactor) VALUES (150, 1, 36300, 'M', 48, 0.9078);</t>
  </si>
  <si>
    <t>INSERT INTO tblWMA (WMADistance, WMARoad, WMAWRTime, WMASex, WMAAge, WMAFactor) VALUES (150, 1, 36300, 'M', 49, 0.9);</t>
  </si>
  <si>
    <t>INSERT INTO tblWMA (WMADistance, WMARoad, WMAWRTime, WMASex, WMAAge, WMAFactor) VALUES (150, 1, 36300, 'M', 50, 0.8922);</t>
  </si>
  <si>
    <t>INSERT INTO tblWMA (WMADistance, WMARoad, WMAWRTime, WMASex, WMAAge, WMAFactor) VALUES (150, 1, 36300, 'M', 51, 0.8845);</t>
  </si>
  <si>
    <t>INSERT INTO tblWMA (WMADistance, WMARoad, WMAWRTime, WMASex, WMAAge, WMAFactor) VALUES (150, 1, 36300, 'M', 52, 0.8767);</t>
  </si>
  <si>
    <t>INSERT INTO tblWMA (WMADistance, WMARoad, WMAWRTime, WMASex, WMAAge, WMAFactor) VALUES (150, 1, 36300, 'M', 53, 0.8689);</t>
  </si>
  <si>
    <t>INSERT INTO tblWMA (WMADistance, WMARoad, WMAWRTime, WMASex, WMAAge, WMAFactor) VALUES (150, 1, 36300, 'M', 54, 0.8611);</t>
  </si>
  <si>
    <t>INSERT INTO tblWMA (WMADistance, WMARoad, WMAWRTime, WMASex, WMAAge, WMAFactor) VALUES (150, 1, 36300, 'M', 55, 0.8533);</t>
  </si>
  <si>
    <t>INSERT INTO tblWMA (WMADistance, WMARoad, WMAWRTime, WMASex, WMAAge, WMAFactor) VALUES (150, 1, 36300, 'M', 56, 0.8456);</t>
  </si>
  <si>
    <t>INSERT INTO tblWMA (WMADistance, WMARoad, WMAWRTime, WMASex, WMAAge, WMAFactor) VALUES (150, 1, 36300, 'M', 57, 0.8378);</t>
  </si>
  <si>
    <t>INSERT INTO tblWMA (WMADistance, WMARoad, WMAWRTime, WMASex, WMAAge, WMAFactor) VALUES (150, 1, 36300, 'M', 58, 0.83);</t>
  </si>
  <si>
    <t>INSERT INTO tblWMA (WMADistance, WMARoad, WMAWRTime, WMASex, WMAAge, WMAFactor) VALUES (150, 1, 36300, 'M', 59, 0.8222);</t>
  </si>
  <si>
    <t>INSERT INTO tblWMA (WMADistance, WMARoad, WMAWRTime, WMASex, WMAAge, WMAFactor) VALUES (150, 1, 36300, 'M', 60, 0.8144);</t>
  </si>
  <si>
    <t>INSERT INTO tblWMA (WMADistance, WMARoad, WMAWRTime, WMASex, WMAAge, WMAFactor) VALUES (150, 1, 36300, 'M', 61, 0.8067);</t>
  </si>
  <si>
    <t>INSERT INTO tblWMA (WMADistance, WMARoad, WMAWRTime, WMASex, WMAAge, WMAFactor) VALUES (150, 1, 36300, 'M', 62, 0.7989);</t>
  </si>
  <si>
    <t>INSERT INTO tblWMA (WMADistance, WMARoad, WMAWRTime, WMASex, WMAAge, WMAFactor) VALUES (150, 1, 36300, 'M', 63, 0.7911);</t>
  </si>
  <si>
    <t>INSERT INTO tblWMA (WMADistance, WMARoad, WMAWRTime, WMASex, WMAAge, WMAFactor) VALUES (150, 1, 36300, 'M', 64, 0.7833);</t>
  </si>
  <si>
    <t>INSERT INTO tblWMA (WMADistance, WMARoad, WMAWRTime, WMASex, WMAAge, WMAFactor) VALUES (150, 1, 36300, 'M', 65, 0.7755);</t>
  </si>
  <si>
    <t>INSERT INTO tblWMA (WMADistance, WMARoad, WMAWRTime, WMASex, WMAAge, WMAFactor) VALUES (150, 1, 36300, 'M', 66, 0.7678);</t>
  </si>
  <si>
    <t>INSERT INTO tblWMA (WMADistance, WMARoad, WMAWRTime, WMASex, WMAAge, WMAFactor) VALUES (150, 1, 36300, 'M', 67, 0.76);</t>
  </si>
  <si>
    <t>INSERT INTO tblWMA (WMADistance, WMARoad, WMAWRTime, WMASex, WMAAge, WMAFactor) VALUES (150, 1, 36300, 'M', 68, 0.7522);</t>
  </si>
  <si>
    <t>INSERT INTO tblWMA (WMADistance, WMARoad, WMAWRTime, WMASex, WMAAge, WMAFactor) VALUES (150, 1, 36300, 'M', 69, 0.7444);</t>
  </si>
  <si>
    <t>INSERT INTO tblWMA (WMADistance, WMARoad, WMAWRTime, WMASex, WMAAge, WMAFactor) VALUES (150, 1, 36300, 'M', 70, 0.7366);</t>
  </si>
  <si>
    <t>INSERT INTO tblWMA (WMADistance, WMARoad, WMAWRTime, WMASex, WMAAge, WMAFactor) VALUES (150, 1, 36300, 'M', 71, 0.7286);</t>
  </si>
  <si>
    <t>INSERT INTO tblWMA (WMADistance, WMARoad, WMAWRTime, WMASex, WMAAge, WMAFactor) VALUES (150, 1, 36300, 'M', 72, 0.7198);</t>
  </si>
  <si>
    <t>INSERT INTO tblWMA (WMADistance, WMARoad, WMAWRTime, WMASex, WMAAge, WMAFactor) VALUES (150, 1, 36300, 'M', 73, 0.7104);</t>
  </si>
  <si>
    <t>INSERT INTO tblWMA (WMADistance, WMARoad, WMAWRTime, WMASex, WMAAge, WMAFactor) VALUES (150, 1, 36300, 'M', 74, 0.7002);</t>
  </si>
  <si>
    <t>INSERT INTO tblWMA (WMADistance, WMARoad, WMAWRTime, WMASex, WMAAge, WMAFactor) VALUES (150, 1, 36300, 'M', 75, 0.6893);</t>
  </si>
  <si>
    <t>INSERT INTO tblWMA (WMADistance, WMARoad, WMAWRTime, WMASex, WMAAge, WMAFactor) VALUES (150, 1, 36300, 'M', 76, 0.6778);</t>
  </si>
  <si>
    <t>INSERT INTO tblWMA (WMADistance, WMARoad, WMAWRTime, WMASex, WMAAge, WMAFactor) VALUES (150, 1, 36300, 'M', 77, 0.6655);</t>
  </si>
  <si>
    <t>INSERT INTO tblWMA (WMADistance, WMARoad, WMAWRTime, WMASex, WMAAge, WMAFactor) VALUES (150, 1, 36300, 'M', 78, 0.6526);</t>
  </si>
  <si>
    <t>INSERT INTO tblWMA (WMADistance, WMARoad, WMAWRTime, WMASex, WMAAge, WMAFactor) VALUES (150, 1, 36300, 'M', 79, 0.6389);</t>
  </si>
  <si>
    <t>INSERT INTO tblWMA (WMADistance, WMARoad, WMAWRTime, WMASex, WMAAge, WMAFactor) VALUES (150, 1, 36300, 'M', 80, 0.6245);</t>
  </si>
  <si>
    <t>INSERT INTO tblWMA (WMADistance, WMARoad, WMAWRTime, WMASex, WMAAge, WMAFactor) VALUES (150, 1, 36300, 'M', 81, 0.6095);</t>
  </si>
  <si>
    <t>INSERT INTO tblWMA (WMADistance, WMARoad, WMAWRTime, WMASex, WMAAge, WMAFactor) VALUES (150, 1, 36300, 'M', 82, 0.5937);</t>
  </si>
  <si>
    <t>INSERT INTO tblWMA (WMADistance, WMARoad, WMAWRTime, WMASex, WMAAge, WMAFactor) VALUES (150, 1, 36300, 'M', 83, 0.5773);</t>
  </si>
  <si>
    <t>INSERT INTO tblWMA (WMADistance, WMARoad, WMAWRTime, WMASex, WMAAge, WMAFactor) VALUES (150, 1, 36300, 'M', 84, 0.5601);</t>
  </si>
  <si>
    <t>INSERT INTO tblWMA (WMADistance, WMARoad, WMAWRTime, WMASex, WMAAge, WMAFactor) VALUES (150, 1, 36300, 'M', 85, 0.5422);</t>
  </si>
  <si>
    <t>INSERT INTO tblWMA (WMADistance, WMARoad, WMAWRTime, WMASex, WMAAge, WMAFactor) VALUES (150, 1, 36300, 'M', 86, 0.5237);</t>
  </si>
  <si>
    <t>INSERT INTO tblWMA (WMADistance, WMARoad, WMAWRTime, WMASex, WMAAge, WMAFactor) VALUES (150, 1, 36300, 'M', 87, 0.5044);</t>
  </si>
  <si>
    <t>INSERT INTO tblWMA (WMADistance, WMARoad, WMAWRTime, WMASex, WMAAge, WMAFactor) VALUES (150, 1, 36300, 'M', 88, 0.4845);</t>
  </si>
  <si>
    <t>INSERT INTO tblWMA (WMADistance, WMARoad, WMAWRTime, WMASex, WMAAge, WMAFactor) VALUES (150, 1, 36300, 'M', 89, 0.4638);</t>
  </si>
  <si>
    <t>INSERT INTO tblWMA (WMADistance, WMARoad, WMAWRTime, WMASex, WMAAge, WMAFactor) VALUES (150, 1, 36300, 'M', 90, 0.4424);</t>
  </si>
  <si>
    <t>INSERT INTO tblWMA (WMADistance, WMARoad, WMAWRTime, WMASex, WMAAge, WMAFactor) VALUES (150, 1, 36300, 'M', 91, 0.4204);</t>
  </si>
  <si>
    <t>INSERT INTO tblWMA (WMADistance, WMARoad, WMAWRTime, WMASex, WMAAge, WMAFactor) VALUES (150, 1, 36300, 'M', 92, 0.3976);</t>
  </si>
  <si>
    <t>INSERT INTO tblWMA (WMADistance, WMARoad, WMAWRTime, WMASex, WMAAge, WMAFactor) VALUES (150, 1, 36300, 'M', 93, 0.3742);</t>
  </si>
  <si>
    <t>INSERT INTO tblWMA (WMADistance, WMARoad, WMAWRTime, WMASex, WMAAge, WMAFactor) VALUES (150, 1, 36300, 'M', 94, 0.35);</t>
  </si>
  <si>
    <t>INSERT INTO tblWMA (WMADistance, WMARoad, WMAWRTime, WMASex, WMAAge, WMAFactor) VALUES (150, 1, 36300, 'M', 95, 0.3251);</t>
  </si>
  <si>
    <t>INSERT INTO tblWMA (WMADistance, WMARoad, WMAWRTime, WMASex, WMAAge, WMAFactor) VALUES (150, 1, 36300, 'M', 96, 0.2996);</t>
  </si>
  <si>
    <t>INSERT INTO tblWMA (WMADistance, WMARoad, WMAWRTime, WMASex, WMAAge, WMAFactor) VALUES (150, 1, 36300, 'M', 97, 0.2733);</t>
  </si>
  <si>
    <t>INSERT INTO tblWMA (WMADistance, WMARoad, WMAWRTime, WMASex, WMAAge, WMAFactor) VALUES (150, 1, 36300, 'M', 98, 0.2464);</t>
  </si>
  <si>
    <t>INSERT INTO tblWMA (WMADistance, WMARoad, WMAWRTime, WMASex, WMAAge, WMAFactor) VALUES (150, 1, 36300, 'M', 99, 0.2187);</t>
  </si>
  <si>
    <t>INSERT INTO tblWMA (WMADistance, WMARoad, WMAWRTime, WMASex, WMAAge, WMAFactor) VALUES (150, 1, 36300, 'M', 100, 0.1903);</t>
  </si>
  <si>
    <t>INSERT INTO tblWMA (WMADistance, WMARoad, WMAWRTime, WMASex, WMAAge, WMAFactor) VALUES (160.934, 1, 39850, 'M', 5, 0.6056);</t>
  </si>
  <si>
    <t>INSERT INTO tblWMA (WMADistance, WMARoad, WMAWRTime, WMASex, WMAAge, WMAFactor) VALUES (160.934, 1, 39850, 'M', 6, 0.6596);</t>
  </si>
  <si>
    <t>INSERT INTO tblWMA (WMADistance, WMARoad, WMAWRTime, WMASex, WMAAge, WMAFactor) VALUES (160.934, 1, 39850, 'M', 7, 0.7096);</t>
  </si>
  <si>
    <t>INSERT INTO tblWMA (WMADistance, WMARoad, WMAWRTime, WMASex, WMAAge, WMAFactor) VALUES (160.934, 1, 39850, 'M', 8, 0.7556);</t>
  </si>
  <si>
    <t>INSERT INTO tblWMA (WMADistance, WMARoad, WMAWRTime, WMASex, WMAAge, WMAFactor) VALUES (160.934, 1, 39850, 'M', 9, 0.7976);</t>
  </si>
  <si>
    <t>INSERT INTO tblWMA (WMADistance, WMARoad, WMAWRTime, WMASex, WMAAge, WMAFactor) VALUES (160.934, 1, 39850, 'M', 10, 0.8356);</t>
  </si>
  <si>
    <t>INSERT INTO tblWMA (WMADistance, WMARoad, WMAWRTime, WMASex, WMAAge, WMAFactor) VALUES (160.934, 1, 39850, 'M', 11, 0.8696);</t>
  </si>
  <si>
    <t>INSERT INTO tblWMA (WMADistance, WMARoad, WMAWRTime, WMASex, WMAAge, WMAFactor) VALUES (160.934, 1, 39850, 'M', 12, 0.8996);</t>
  </si>
  <si>
    <t>INSERT INTO tblWMA (WMADistance, WMARoad, WMAWRTime, WMASex, WMAAge, WMAFactor) VALUES (160.934, 1, 39850, 'M', 13, 0.9256);</t>
  </si>
  <si>
    <t>INSERT INTO tblWMA (WMADistance, WMARoad, WMAWRTime, WMASex, WMAAge, WMAFactor) VALUES (160.934, 1, 39850, 'M', 14, 0.9476);</t>
  </si>
  <si>
    <t>INSERT INTO tblWMA (WMADistance, WMARoad, WMAWRTime, WMASex, WMAAge, WMAFactor) VALUES (160.934, 1, 39850, 'M', 15, 0.9656);</t>
  </si>
  <si>
    <t>INSERT INTO tblWMA (WMADistance, WMARoad, WMAWRTime, WMASex, WMAAge, WMAFactor) VALUES (160.934, 1, 39850, 'M', 16, 0.9796);</t>
  </si>
  <si>
    <t>INSERT INTO tblWMA (WMADistance, WMARoad, WMAWRTime, WMASex, WMAAge, WMAFactor) VALUES (160.934, 1, 39850, 'M', 17, 0.9916);</t>
  </si>
  <si>
    <t>INSERT INTO tblWMA (WMADistance, WMARoad, WMAWRTime, WMASex, WMAAge, WMAFactor) VALUES (160.934, 1, 39850, 'M', 18, 0.9993);</t>
  </si>
  <si>
    <t>INSERT INTO tblWMA (WMADistance, WMARoad, WMAWRTime, WMASex, WMAAge, WMAFactor) VALUES (160.934, 1, 39850, 'M', 19, 1);</t>
  </si>
  <si>
    <t>INSERT INTO tblWMA (WMADistance, WMARoad, WMAWRTime, WMASex, WMAAge, WMAFactor) VALUES (160.934, 1, 39850, 'M', 20, 1);</t>
  </si>
  <si>
    <t>INSERT INTO tblWMA (WMADistance, WMARoad, WMAWRTime, WMASex, WMAAge, WMAFactor) VALUES (160.934, 1, 39850, 'M', 21, 1);</t>
  </si>
  <si>
    <t>INSERT INTO tblWMA (WMADistance, WMARoad, WMAWRTime, WMASex, WMAAge, WMAFactor) VALUES (160.934, 1, 39850, 'M', 22, 1);</t>
  </si>
  <si>
    <t>INSERT INTO tblWMA (WMADistance, WMARoad, WMAWRTime, WMASex, WMAAge, WMAFactor) VALUES (160.934, 1, 39850, 'M', 23, 1);</t>
  </si>
  <si>
    <t>INSERT INTO tblWMA (WMADistance, WMARoad, WMAWRTime, WMASex, WMAAge, WMAFactor) VALUES (160.934, 1, 39850, 'M', 24, 1);</t>
  </si>
  <si>
    <t>INSERT INTO tblWMA (WMADistance, WMARoad, WMAWRTime, WMASex, WMAAge, WMAFactor) VALUES (160.934, 1, 39850, 'M', 25, 1);</t>
  </si>
  <si>
    <t>INSERT INTO tblWMA (WMADistance, WMARoad, WMAWRTime, WMASex, WMAAge, WMAFactor) VALUES (160.934, 1, 39850, 'M', 26, 1);</t>
  </si>
  <si>
    <t>INSERT INTO tblWMA (WMADistance, WMARoad, WMAWRTime, WMASex, WMAAge, WMAFactor) VALUES (160.934, 1, 39850, 'M', 27, 1);</t>
  </si>
  <si>
    <t>INSERT INTO tblWMA (WMADistance, WMARoad, WMAWRTime, WMASex, WMAAge, WMAFactor) VALUES (160.934, 1, 39850, 'M', 28, 1);</t>
  </si>
  <si>
    <t>INSERT INTO tblWMA (WMADistance, WMARoad, WMAWRTime, WMASex, WMAAge, WMAFactor) VALUES (160.934, 1, 39850, 'M', 29, 1);</t>
  </si>
  <si>
    <t>INSERT INTO tblWMA (WMADistance, WMARoad, WMAWRTime, WMASex, WMAAge, WMAFactor) VALUES (160.934, 1, 39850, 'M', 30, 1);</t>
  </si>
  <si>
    <t>INSERT INTO tblWMA (WMADistance, WMARoad, WMAWRTime, WMASex, WMAAge, WMAFactor) VALUES (160.934, 1, 39850, 'M', 31, 1);</t>
  </si>
  <si>
    <t>INSERT INTO tblWMA (WMADistance, WMARoad, WMAWRTime, WMASex, WMAAge, WMAFactor) VALUES (160.934, 1, 39850, 'M', 32, 0.9998);</t>
  </si>
  <si>
    <t>INSERT INTO tblWMA (WMADistance, WMARoad, WMAWRTime, WMASex, WMAAge, WMAFactor) VALUES (160.934, 1, 39850, 'M', 33, 0.9988);</t>
  </si>
  <si>
    <t>INSERT INTO tblWMA (WMADistance, WMARoad, WMAWRTime, WMASex, WMAAge, WMAFactor) VALUES (160.934, 1, 39850, 'M', 34, 0.9971);</t>
  </si>
  <si>
    <t>INSERT INTO tblWMA (WMADistance, WMARoad, WMAWRTime, WMASex, WMAAge, WMAFactor) VALUES (160.934, 1, 39850, 'M', 35, 0.9945);</t>
  </si>
  <si>
    <t>INSERT INTO tblWMA (WMADistance, WMARoad, WMAWRTime, WMASex, WMAAge, WMAFactor) VALUES (160.934, 1, 39850, 'M', 36, 0.9911);</t>
  </si>
  <si>
    <t>INSERT INTO tblWMA (WMADistance, WMARoad, WMAWRTime, WMASex, WMAAge, WMAFactor) VALUES (160.934, 1, 39850, 'M', 37, 0.987);</t>
  </si>
  <si>
    <t>INSERT INTO tblWMA (WMADistance, WMARoad, WMAWRTime, WMASex, WMAAge, WMAFactor) VALUES (160.934, 1, 39850, 'M', 38, 0.982);</t>
  </si>
  <si>
    <t>INSERT INTO tblWMA (WMADistance, WMARoad, WMAWRTime, WMASex, WMAAge, WMAFactor) VALUES (160.934, 1, 39850, 'M', 39, 0.9762);</t>
  </si>
  <si>
    <t>INSERT INTO tblWMA (WMADistance, WMARoad, WMAWRTime, WMASex, WMAAge, WMAFactor) VALUES (160.934, 1, 39850, 'M', 40, 0.9696);</t>
  </si>
  <si>
    <t>INSERT INTO tblWMA (WMADistance, WMARoad, WMAWRTime, WMASex, WMAAge, WMAFactor) VALUES (160.934, 1, 39850, 'M', 41, 0.9623);</t>
  </si>
  <si>
    <t>INSERT INTO tblWMA (WMADistance, WMARoad, WMAWRTime, WMASex, WMAAge, WMAFactor) VALUES (160.934, 1, 39850, 'M', 42, 0.9545);</t>
  </si>
  <si>
    <t>INSERT INTO tblWMA (WMADistance, WMARoad, WMAWRTime, WMASex, WMAAge, WMAFactor) VALUES (160.934, 1, 39850, 'M', 43, 0.9467);</t>
  </si>
  <si>
    <t>INSERT INTO tblWMA (WMADistance, WMARoad, WMAWRTime, WMASex, WMAAge, WMAFactor) VALUES (160.934, 1, 39850, 'M', 44, 0.9389);</t>
  </si>
  <si>
    <t>INSERT INTO tblWMA (WMADistance, WMARoad, WMAWRTime, WMASex, WMAAge, WMAFactor) VALUES (160.934, 1, 39850, 'M', 45, 0.9311);</t>
  </si>
  <si>
    <t>INSERT INTO tblWMA (WMADistance, WMARoad, WMAWRTime, WMASex, WMAAge, WMAFactor) VALUES (160.934, 1, 39850, 'M', 46, 0.9234);</t>
  </si>
  <si>
    <t>INSERT INTO tblWMA (WMADistance, WMARoad, WMAWRTime, WMASex, WMAAge, WMAFactor) VALUES (160.934, 1, 39850, 'M', 47, 0.9156);</t>
  </si>
  <si>
    <t>INSERT INTO tblWMA (WMADistance, WMARoad, WMAWRTime, WMASex, WMAAge, WMAFactor) VALUES (160.934, 1, 39850, 'M', 48, 0.9078);</t>
  </si>
  <si>
    <t>INSERT INTO tblWMA (WMADistance, WMARoad, WMAWRTime, WMASex, WMAAge, WMAFactor) VALUES (160.934, 1, 39850, 'M', 49, 0.9);</t>
  </si>
  <si>
    <t>INSERT INTO tblWMA (WMADistance, WMARoad, WMAWRTime, WMASex, WMAAge, WMAFactor) VALUES (160.934, 1, 39850, 'M', 50, 0.8922);</t>
  </si>
  <si>
    <t>INSERT INTO tblWMA (WMADistance, WMARoad, WMAWRTime, WMASex, WMAAge, WMAFactor) VALUES (160.934, 1, 39850, 'M', 51, 0.8845);</t>
  </si>
  <si>
    <t>INSERT INTO tblWMA (WMADistance, WMARoad, WMAWRTime, WMASex, WMAAge, WMAFactor) VALUES (160.934, 1, 39850, 'M', 52, 0.8767);</t>
  </si>
  <si>
    <t>INSERT INTO tblWMA (WMADistance, WMARoad, WMAWRTime, WMASex, WMAAge, WMAFactor) VALUES (160.934, 1, 39850, 'M', 53, 0.8689);</t>
  </si>
  <si>
    <t>INSERT INTO tblWMA (WMADistance, WMARoad, WMAWRTime, WMASex, WMAAge, WMAFactor) VALUES (160.934, 1, 39850, 'M', 54, 0.8611);</t>
  </si>
  <si>
    <t>INSERT INTO tblWMA (WMADistance, WMARoad, WMAWRTime, WMASex, WMAAge, WMAFactor) VALUES (160.934, 1, 39850, 'M', 55, 0.8533);</t>
  </si>
  <si>
    <t>INSERT INTO tblWMA (WMADistance, WMARoad, WMAWRTime, WMASex, WMAAge, WMAFactor) VALUES (160.934, 1, 39850, 'M', 56, 0.8456);</t>
  </si>
  <si>
    <t>INSERT INTO tblWMA (WMADistance, WMARoad, WMAWRTime, WMASex, WMAAge, WMAFactor) VALUES (160.934, 1, 39850, 'M', 57, 0.8378);</t>
  </si>
  <si>
    <t>INSERT INTO tblWMA (WMADistance, WMARoad, WMAWRTime, WMASex, WMAAge, WMAFactor) VALUES (160.934, 1, 39850, 'M', 58, 0.83);</t>
  </si>
  <si>
    <t>INSERT INTO tblWMA (WMADistance, WMARoad, WMAWRTime, WMASex, WMAAge, WMAFactor) VALUES (160.934, 1, 39850, 'M', 59, 0.8222);</t>
  </si>
  <si>
    <t>INSERT INTO tblWMA (WMADistance, WMARoad, WMAWRTime, WMASex, WMAAge, WMAFactor) VALUES (160.934, 1, 39850, 'M', 60, 0.8144);</t>
  </si>
  <si>
    <t>INSERT INTO tblWMA (WMADistance, WMARoad, WMAWRTime, WMASex, WMAAge, WMAFactor) VALUES (160.934, 1, 39850, 'M', 61, 0.8067);</t>
  </si>
  <si>
    <t>INSERT INTO tblWMA (WMADistance, WMARoad, WMAWRTime, WMASex, WMAAge, WMAFactor) VALUES (160.934, 1, 39850, 'M', 62, 0.7989);</t>
  </si>
  <si>
    <t>INSERT INTO tblWMA (WMADistance, WMARoad, WMAWRTime, WMASex, WMAAge, WMAFactor) VALUES (160.934, 1, 39850, 'M', 63, 0.7911);</t>
  </si>
  <si>
    <t>INSERT INTO tblWMA (WMADistance, WMARoad, WMAWRTime, WMASex, WMAAge, WMAFactor) VALUES (160.934, 1, 39850, 'M', 64, 0.7833);</t>
  </si>
  <si>
    <t>INSERT INTO tblWMA (WMADistance, WMARoad, WMAWRTime, WMASex, WMAAge, WMAFactor) VALUES (160.934, 1, 39850, 'M', 65, 0.7755);</t>
  </si>
  <si>
    <t>INSERT INTO tblWMA (WMADistance, WMARoad, WMAWRTime, WMASex, WMAAge, WMAFactor) VALUES (160.934, 1, 39850, 'M', 66, 0.7678);</t>
  </si>
  <si>
    <t>INSERT INTO tblWMA (WMADistance, WMARoad, WMAWRTime, WMASex, WMAAge, WMAFactor) VALUES (160.934, 1, 39850, 'M', 67, 0.76);</t>
  </si>
  <si>
    <t>INSERT INTO tblWMA (WMADistance, WMARoad, WMAWRTime, WMASex, WMAAge, WMAFactor) VALUES (160.934, 1, 39850, 'M', 68, 0.7522);</t>
  </si>
  <si>
    <t>INSERT INTO tblWMA (WMADistance, WMARoad, WMAWRTime, WMASex, WMAAge, WMAFactor) VALUES (160.934, 1, 39850, 'M', 69, 0.7444);</t>
  </si>
  <si>
    <t>INSERT INTO tblWMA (WMADistance, WMARoad, WMAWRTime, WMASex, WMAAge, WMAFactor) VALUES (160.934, 1, 39850, 'M', 70, 0.7366);</t>
  </si>
  <si>
    <t>INSERT INTO tblWMA (WMADistance, WMARoad, WMAWRTime, WMASex, WMAAge, WMAFactor) VALUES (160.934, 1, 39850, 'M', 71, 0.7286);</t>
  </si>
  <si>
    <t>INSERT INTO tblWMA (WMADistance, WMARoad, WMAWRTime, WMASex, WMAAge, WMAFactor) VALUES (160.934, 1, 39850, 'M', 72, 0.7198);</t>
  </si>
  <si>
    <t>INSERT INTO tblWMA (WMADistance, WMARoad, WMAWRTime, WMASex, WMAAge, WMAFactor) VALUES (160.934, 1, 39850, 'M', 73, 0.7104);</t>
  </si>
  <si>
    <t>INSERT INTO tblWMA (WMADistance, WMARoad, WMAWRTime, WMASex, WMAAge, WMAFactor) VALUES (160.934, 1, 39850, 'M', 74, 0.7002);</t>
  </si>
  <si>
    <t>INSERT INTO tblWMA (WMADistance, WMARoad, WMAWRTime, WMASex, WMAAge, WMAFactor) VALUES (160.934, 1, 39850, 'M', 75, 0.6893);</t>
  </si>
  <si>
    <t>INSERT INTO tblWMA (WMADistance, WMARoad, WMAWRTime, WMASex, WMAAge, WMAFactor) VALUES (160.934, 1, 39850, 'M', 76, 0.6778);</t>
  </si>
  <si>
    <t>INSERT INTO tblWMA (WMADistance, WMARoad, WMAWRTime, WMASex, WMAAge, WMAFactor) VALUES (160.934, 1, 39850, 'M', 77, 0.6655);</t>
  </si>
  <si>
    <t>INSERT INTO tblWMA (WMADistance, WMARoad, WMAWRTime, WMASex, WMAAge, WMAFactor) VALUES (160.934, 1, 39850, 'M', 78, 0.6526);</t>
  </si>
  <si>
    <t>INSERT INTO tblWMA (WMADistance, WMARoad, WMAWRTime, WMASex, WMAAge, WMAFactor) VALUES (160.934, 1, 39850, 'M', 79, 0.6389);</t>
  </si>
  <si>
    <t>INSERT INTO tblWMA (WMADistance, WMARoad, WMAWRTime, WMASex, WMAAge, WMAFactor) VALUES (160.934, 1, 39850, 'M', 80, 0.6245);</t>
  </si>
  <si>
    <t>INSERT INTO tblWMA (WMADistance, WMARoad, WMAWRTime, WMASex, WMAAge, WMAFactor) VALUES (160.934, 1, 39850, 'M', 81, 0.6095);</t>
  </si>
  <si>
    <t>INSERT INTO tblWMA (WMADistance, WMARoad, WMAWRTime, WMASex, WMAAge, WMAFactor) VALUES (160.934, 1, 39850, 'M', 82, 0.5937);</t>
  </si>
  <si>
    <t>INSERT INTO tblWMA (WMADistance, WMARoad, WMAWRTime, WMASex, WMAAge, WMAFactor) VALUES (160.934, 1, 39850, 'M', 83, 0.5773);</t>
  </si>
  <si>
    <t>INSERT INTO tblWMA (WMADistance, WMARoad, WMAWRTime, WMASex, WMAAge, WMAFactor) VALUES (160.934, 1, 39850, 'M', 84, 0.5601);</t>
  </si>
  <si>
    <t>INSERT INTO tblWMA (WMADistance, WMARoad, WMAWRTime, WMASex, WMAAge, WMAFactor) VALUES (160.934, 1, 39850, 'M', 85, 0.5422);</t>
  </si>
  <si>
    <t>INSERT INTO tblWMA (WMADistance, WMARoad, WMAWRTime, WMASex, WMAAge, WMAFactor) VALUES (160.934, 1, 39850, 'M', 86, 0.5237);</t>
  </si>
  <si>
    <t>INSERT INTO tblWMA (WMADistance, WMARoad, WMAWRTime, WMASex, WMAAge, WMAFactor) VALUES (160.934, 1, 39850, 'M', 87, 0.5044);</t>
  </si>
  <si>
    <t>INSERT INTO tblWMA (WMADistance, WMARoad, WMAWRTime, WMASex, WMAAge, WMAFactor) VALUES (160.934, 1, 39850, 'M', 88, 0.4845);</t>
  </si>
  <si>
    <t>INSERT INTO tblWMA (WMADistance, WMARoad, WMAWRTime, WMASex, WMAAge, WMAFactor) VALUES (160.934, 1, 39850, 'M', 89, 0.4638);</t>
  </si>
  <si>
    <t>INSERT INTO tblWMA (WMADistance, WMARoad, WMAWRTime, WMASex, WMAAge, WMAFactor) VALUES (160.934, 1, 39850, 'M', 90, 0.4424);</t>
  </si>
  <si>
    <t>INSERT INTO tblWMA (WMADistance, WMARoad, WMAWRTime, WMASex, WMAAge, WMAFactor) VALUES (160.934, 1, 39850, 'M', 91, 0.4204);</t>
  </si>
  <si>
    <t>INSERT INTO tblWMA (WMADistance, WMARoad, WMAWRTime, WMASex, WMAAge, WMAFactor) VALUES (160.934, 1, 39850, 'M', 92, 0.3976);</t>
  </si>
  <si>
    <t>INSERT INTO tblWMA (WMADistance, WMARoad, WMAWRTime, WMASex, WMAAge, WMAFactor) VALUES (160.934, 1, 39850, 'M', 93, 0.3742);</t>
  </si>
  <si>
    <t>INSERT INTO tblWMA (WMADistance, WMARoad, WMAWRTime, WMASex, WMAAge, WMAFactor) VALUES (160.934, 1, 39850, 'M', 94, 0.35);</t>
  </si>
  <si>
    <t>INSERT INTO tblWMA (WMADistance, WMARoad, WMAWRTime, WMASex, WMAAge, WMAFactor) VALUES (160.934, 1, 39850, 'M', 95, 0.3251);</t>
  </si>
  <si>
    <t>INSERT INTO tblWMA (WMADistance, WMARoad, WMAWRTime, WMASex, WMAAge, WMAFactor) VALUES (160.934, 1, 39850, 'M', 96, 0.2996);</t>
  </si>
  <si>
    <t>INSERT INTO tblWMA (WMADistance, WMARoad, WMAWRTime, WMASex, WMAAge, WMAFactor) VALUES (160.934, 1, 39850, 'M', 97, 0.2733);</t>
  </si>
  <si>
    <t>INSERT INTO tblWMA (WMADistance, WMARoad, WMAWRTime, WMASex, WMAAge, WMAFactor) VALUES (160.934, 1, 39850, 'M', 98, 0.2464);</t>
  </si>
  <si>
    <t>INSERT INTO tblWMA (WMADistance, WMARoad, WMAWRTime, WMASex, WMAAge, WMAFactor) VALUES (160.934, 1, 39850, 'M', 99, 0.2187);</t>
  </si>
  <si>
    <t>INSERT INTO tblWMA (WMADistance, WMARoad, WMAWRTime, WMASex, WMAAge, WMAFactor) VALUES (160.934, 1, 39850, 'M', 100, 0.1903);</t>
  </si>
  <si>
    <t>INSERT INTO tblWMA (WMADistance, WMARoad, WMAWRTime, WMASex, WMAAge, WMAFactor) VALUES (200, 1, 52800, 'M', 5, 0.6056);</t>
  </si>
  <si>
    <t>INSERT INTO tblWMA (WMADistance, WMARoad, WMAWRTime, WMASex, WMAAge, WMAFactor) VALUES (200, 1, 52800, 'M', 6, 0.6596);</t>
  </si>
  <si>
    <t>INSERT INTO tblWMA (WMADistance, WMARoad, WMAWRTime, WMASex, WMAAge, WMAFactor) VALUES (200, 1, 52800, 'M', 7, 0.7096);</t>
  </si>
  <si>
    <t>INSERT INTO tblWMA (WMADistance, WMARoad, WMAWRTime, WMASex, WMAAge, WMAFactor) VALUES (200, 1, 52800, 'M', 8, 0.7556);</t>
  </si>
  <si>
    <t>INSERT INTO tblWMA (WMADistance, WMARoad, WMAWRTime, WMASex, WMAAge, WMAFactor) VALUES (200, 1, 52800, 'M', 9, 0.7976);</t>
  </si>
  <si>
    <t>INSERT INTO tblWMA (WMADistance, WMARoad, WMAWRTime, WMASex, WMAAge, WMAFactor) VALUES (200, 1, 52800, 'M', 10, 0.8356);</t>
  </si>
  <si>
    <t>INSERT INTO tblWMA (WMADistance, WMARoad, WMAWRTime, WMASex, WMAAge, WMAFactor) VALUES (200, 1, 52800, 'M', 11, 0.8696);</t>
  </si>
  <si>
    <t>INSERT INTO tblWMA (WMADistance, WMARoad, WMAWRTime, WMASex, WMAAge, WMAFactor) VALUES (200, 1, 52800, 'M', 12, 0.8996);</t>
  </si>
  <si>
    <t>INSERT INTO tblWMA (WMADistance, WMARoad, WMAWRTime, WMASex, WMAAge, WMAFactor) VALUES (200, 1, 52800, 'M', 13, 0.9256);</t>
  </si>
  <si>
    <t>INSERT INTO tblWMA (WMADistance, WMARoad, WMAWRTime, WMASex, WMAAge, WMAFactor) VALUES (200, 1, 52800, 'M', 14, 0.9476);</t>
  </si>
  <si>
    <t>INSERT INTO tblWMA (WMADistance, WMARoad, WMAWRTime, WMASex, WMAAge, WMAFactor) VALUES (200, 1, 52800, 'M', 15, 0.9656);</t>
  </si>
  <si>
    <t>INSERT INTO tblWMA (WMADistance, WMARoad, WMAWRTime, WMASex, WMAAge, WMAFactor) VALUES (200, 1, 52800, 'M', 16, 0.9796);</t>
  </si>
  <si>
    <t>INSERT INTO tblWMA (WMADistance, WMARoad, WMAWRTime, WMASex, WMAAge, WMAFactor) VALUES (200, 1, 52800, 'M', 17, 0.9916);</t>
  </si>
  <si>
    <t>INSERT INTO tblWMA (WMADistance, WMARoad, WMAWRTime, WMASex, WMAAge, WMAFactor) VALUES (200, 1, 52800, 'M', 18, 0.9993);</t>
  </si>
  <si>
    <t>INSERT INTO tblWMA (WMADistance, WMARoad, WMAWRTime, WMASex, WMAAge, WMAFactor) VALUES (200, 1, 52800, 'M', 19, 1);</t>
  </si>
  <si>
    <t>INSERT INTO tblWMA (WMADistance, WMARoad, WMAWRTime, WMASex, WMAAge, WMAFactor) VALUES (200, 1, 52800, 'M', 20, 1);</t>
  </si>
  <si>
    <t>INSERT INTO tblWMA (WMADistance, WMARoad, WMAWRTime, WMASex, WMAAge, WMAFactor) VALUES (200, 1, 52800, 'M', 21, 1);</t>
  </si>
  <si>
    <t>INSERT INTO tblWMA (WMADistance, WMARoad, WMAWRTime, WMASex, WMAAge, WMAFactor) VALUES (200, 1, 52800, 'M', 22, 1);</t>
  </si>
  <si>
    <t>INSERT INTO tblWMA (WMADistance, WMARoad, WMAWRTime, WMASex, WMAAge, WMAFactor) VALUES (200, 1, 52800, 'M', 23, 1);</t>
  </si>
  <si>
    <t>INSERT INTO tblWMA (WMADistance, WMARoad, WMAWRTime, WMASex, WMAAge, WMAFactor) VALUES (200, 1, 52800, 'M', 24, 1);</t>
  </si>
  <si>
    <t>INSERT INTO tblWMA (WMADistance, WMARoad, WMAWRTime, WMASex, WMAAge, WMAFactor) VALUES (200, 1, 52800, 'M', 25, 1);</t>
  </si>
  <si>
    <t>INSERT INTO tblWMA (WMADistance, WMARoad, WMAWRTime, WMASex, WMAAge, WMAFactor) VALUES (200, 1, 52800, 'M', 26, 1);</t>
  </si>
  <si>
    <t>INSERT INTO tblWMA (WMADistance, WMARoad, WMAWRTime, WMASex, WMAAge, WMAFactor) VALUES (200, 1, 52800, 'M', 27, 1);</t>
  </si>
  <si>
    <t>INSERT INTO tblWMA (WMADistance, WMARoad, WMAWRTime, WMASex, WMAAge, WMAFactor) VALUES (200, 1, 52800, 'M', 28, 1);</t>
  </si>
  <si>
    <t>INSERT INTO tblWMA (WMADistance, WMARoad, WMAWRTime, WMASex, WMAAge, WMAFactor) VALUES (200, 1, 52800, 'M', 29, 1);</t>
  </si>
  <si>
    <t>INSERT INTO tblWMA (WMADistance, WMARoad, WMAWRTime, WMASex, WMAAge, WMAFactor) VALUES (200, 1, 52800, 'M', 30, 1);</t>
  </si>
  <si>
    <t>INSERT INTO tblWMA (WMADistance, WMARoad, WMAWRTime, WMASex, WMAAge, WMAFactor) VALUES (200, 1, 52800, 'M', 31, 1);</t>
  </si>
  <si>
    <t>INSERT INTO tblWMA (WMADistance, WMARoad, WMAWRTime, WMASex, WMAAge, WMAFactor) VALUES (200, 1, 52800, 'M', 32, 0.9998);</t>
  </si>
  <si>
    <t>INSERT INTO tblWMA (WMADistance, WMARoad, WMAWRTime, WMASex, WMAAge, WMAFactor) VALUES (200, 1, 52800, 'M', 33, 0.9988);</t>
  </si>
  <si>
    <t>INSERT INTO tblWMA (WMADistance, WMARoad, WMAWRTime, WMASex, WMAAge, WMAFactor) VALUES (200, 1, 52800, 'M', 34, 0.9971);</t>
  </si>
  <si>
    <t>INSERT INTO tblWMA (WMADistance, WMARoad, WMAWRTime, WMASex, WMAAge, WMAFactor) VALUES (200, 1, 52800, 'M', 35, 0.9945);</t>
  </si>
  <si>
    <t>INSERT INTO tblWMA (WMADistance, WMARoad, WMAWRTime, WMASex, WMAAge, WMAFactor) VALUES (200, 1, 52800, 'M', 36, 0.9911);</t>
  </si>
  <si>
    <t>INSERT INTO tblWMA (WMADistance, WMARoad, WMAWRTime, WMASex, WMAAge, WMAFactor) VALUES (200, 1, 52800, 'M', 37, 0.987);</t>
  </si>
  <si>
    <t>INSERT INTO tblWMA (WMADistance, WMARoad, WMAWRTime, WMASex, WMAAge, WMAFactor) VALUES (200, 1, 52800, 'M', 38, 0.982);</t>
  </si>
  <si>
    <t>INSERT INTO tblWMA (WMADistance, WMARoad, WMAWRTime, WMASex, WMAAge, WMAFactor) VALUES (200, 1, 52800, 'M', 39, 0.9762);</t>
  </si>
  <si>
    <t>INSERT INTO tblWMA (WMADistance, WMARoad, WMAWRTime, WMASex, WMAAge, WMAFactor) VALUES (200, 1, 52800, 'M', 40, 0.9696);</t>
  </si>
  <si>
    <t>INSERT INTO tblWMA (WMADistance, WMARoad, WMAWRTime, WMASex, WMAAge, WMAFactor) VALUES (200, 1, 52800, 'M', 41, 0.9623);</t>
  </si>
  <si>
    <t>INSERT INTO tblWMA (WMADistance, WMARoad, WMAWRTime, WMASex, WMAAge, WMAFactor) VALUES (200, 1, 52800, 'M', 42, 0.9545);</t>
  </si>
  <si>
    <t>INSERT INTO tblWMA (WMADistance, WMARoad, WMAWRTime, WMASex, WMAAge, WMAFactor) VALUES (200, 1, 52800, 'M', 43, 0.9467);</t>
  </si>
  <si>
    <t>INSERT INTO tblWMA (WMADistance, WMARoad, WMAWRTime, WMASex, WMAAge, WMAFactor) VALUES (200, 1, 52800, 'M', 44, 0.9389);</t>
  </si>
  <si>
    <t>INSERT INTO tblWMA (WMADistance, WMARoad, WMAWRTime, WMASex, WMAAge, WMAFactor) VALUES (200, 1, 52800, 'M', 45, 0.9311);</t>
  </si>
  <si>
    <t>INSERT INTO tblWMA (WMADistance, WMARoad, WMAWRTime, WMASex, WMAAge, WMAFactor) VALUES (200, 1, 52800, 'M', 46, 0.9234);</t>
  </si>
  <si>
    <t>INSERT INTO tblWMA (WMADistance, WMARoad, WMAWRTime, WMASex, WMAAge, WMAFactor) VALUES (200, 1, 52800, 'M', 47, 0.9156);</t>
  </si>
  <si>
    <t>INSERT INTO tblWMA (WMADistance, WMARoad, WMAWRTime, WMASex, WMAAge, WMAFactor) VALUES (200, 1, 52800, 'M', 48, 0.9078);</t>
  </si>
  <si>
    <t>INSERT INTO tblWMA (WMADistance, WMARoad, WMAWRTime, WMASex, WMAAge, WMAFactor) VALUES (200, 1, 52800, 'M', 49, 0.9);</t>
  </si>
  <si>
    <t>INSERT INTO tblWMA (WMADistance, WMARoad, WMAWRTime, WMASex, WMAAge, WMAFactor) VALUES (200, 1, 52800, 'M', 50, 0.8922);</t>
  </si>
  <si>
    <t>INSERT INTO tblWMA (WMADistance, WMARoad, WMAWRTime, WMASex, WMAAge, WMAFactor) VALUES (200, 1, 52800, 'M', 51, 0.8845);</t>
  </si>
  <si>
    <t>INSERT INTO tblWMA (WMADistance, WMARoad, WMAWRTime, WMASex, WMAAge, WMAFactor) VALUES (200, 1, 52800, 'M', 52, 0.8767);</t>
  </si>
  <si>
    <t>INSERT INTO tblWMA (WMADistance, WMARoad, WMAWRTime, WMASex, WMAAge, WMAFactor) VALUES (200, 1, 52800, 'M', 53, 0.8689);</t>
  </si>
  <si>
    <t>INSERT INTO tblWMA (WMADistance, WMARoad, WMAWRTime, WMASex, WMAAge, WMAFactor) VALUES (200, 1, 52800, 'M', 54, 0.8611);</t>
  </si>
  <si>
    <t>INSERT INTO tblWMA (WMADistance, WMARoad, WMAWRTime, WMASex, WMAAge, WMAFactor) VALUES (200, 1, 52800, 'M', 55, 0.8533);</t>
  </si>
  <si>
    <t>INSERT INTO tblWMA (WMADistance, WMARoad, WMAWRTime, WMASex, WMAAge, WMAFactor) VALUES (200, 1, 52800, 'M', 56, 0.8456);</t>
  </si>
  <si>
    <t>INSERT INTO tblWMA (WMADistance, WMARoad, WMAWRTime, WMASex, WMAAge, WMAFactor) VALUES (200, 1, 52800, 'M', 57, 0.8378);</t>
  </si>
  <si>
    <t>INSERT INTO tblWMA (WMADistance, WMARoad, WMAWRTime, WMASex, WMAAge, WMAFactor) VALUES (200, 1, 52800, 'M', 58, 0.83);</t>
  </si>
  <si>
    <t>INSERT INTO tblWMA (WMADistance, WMARoad, WMAWRTime, WMASex, WMAAge, WMAFactor) VALUES (200, 1, 52800, 'M', 59, 0.8222);</t>
  </si>
  <si>
    <t>INSERT INTO tblWMA (WMADistance, WMARoad, WMAWRTime, WMASex, WMAAge, WMAFactor) VALUES (200, 1, 52800, 'M', 60, 0.8144);</t>
  </si>
  <si>
    <t>INSERT INTO tblWMA (WMADistance, WMARoad, WMAWRTime, WMASex, WMAAge, WMAFactor) VALUES (200, 1, 52800, 'M', 61, 0.8067);</t>
  </si>
  <si>
    <t>INSERT INTO tblWMA (WMADistance, WMARoad, WMAWRTime, WMASex, WMAAge, WMAFactor) VALUES (200, 1, 52800, 'M', 62, 0.7989);</t>
  </si>
  <si>
    <t>INSERT INTO tblWMA (WMADistance, WMARoad, WMAWRTime, WMASex, WMAAge, WMAFactor) VALUES (200, 1, 52800, 'M', 63, 0.7911);</t>
  </si>
  <si>
    <t>INSERT INTO tblWMA (WMADistance, WMARoad, WMAWRTime, WMASex, WMAAge, WMAFactor) VALUES (200, 1, 52800, 'M', 64, 0.7833);</t>
  </si>
  <si>
    <t>INSERT INTO tblWMA (WMADistance, WMARoad, WMAWRTime, WMASex, WMAAge, WMAFactor) VALUES (200, 1, 52800, 'M', 65, 0.7755);</t>
  </si>
  <si>
    <t>INSERT INTO tblWMA (WMADistance, WMARoad, WMAWRTime, WMASex, WMAAge, WMAFactor) VALUES (200, 1, 52800, 'M', 66, 0.7678);</t>
  </si>
  <si>
    <t>INSERT INTO tblWMA (WMADistance, WMARoad, WMAWRTime, WMASex, WMAAge, WMAFactor) VALUES (200, 1, 52800, 'M', 67, 0.76);</t>
  </si>
  <si>
    <t>INSERT INTO tblWMA (WMADistance, WMARoad, WMAWRTime, WMASex, WMAAge, WMAFactor) VALUES (200, 1, 52800, 'M', 68, 0.7522);</t>
  </si>
  <si>
    <t>INSERT INTO tblWMA (WMADistance, WMARoad, WMAWRTime, WMASex, WMAAge, WMAFactor) VALUES (200, 1, 52800, 'M', 69, 0.7444);</t>
  </si>
  <si>
    <t>INSERT INTO tblWMA (WMADistance, WMARoad, WMAWRTime, WMASex, WMAAge, WMAFactor) VALUES (200, 1, 52800, 'M', 70, 0.7366);</t>
  </si>
  <si>
    <t>INSERT INTO tblWMA (WMADistance, WMARoad, WMAWRTime, WMASex, WMAAge, WMAFactor) VALUES (200, 1, 52800, 'M', 71, 0.7286);</t>
  </si>
  <si>
    <t>INSERT INTO tblWMA (WMADistance, WMARoad, WMAWRTime, WMASex, WMAAge, WMAFactor) VALUES (200, 1, 52800, 'M', 72, 0.7198);</t>
  </si>
  <si>
    <t>INSERT INTO tblWMA (WMADistance, WMARoad, WMAWRTime, WMASex, WMAAge, WMAFactor) VALUES (200, 1, 52800, 'M', 73, 0.7104);</t>
  </si>
  <si>
    <t>INSERT INTO tblWMA (WMADistance, WMARoad, WMAWRTime, WMASex, WMAAge, WMAFactor) VALUES (200, 1, 52800, 'M', 74, 0.7002);</t>
  </si>
  <si>
    <t>INSERT INTO tblWMA (WMADistance, WMARoad, WMAWRTime, WMASex, WMAAge, WMAFactor) VALUES (200, 1, 52800, 'M', 75, 0.6893);</t>
  </si>
  <si>
    <t>INSERT INTO tblWMA (WMADistance, WMARoad, WMAWRTime, WMASex, WMAAge, WMAFactor) VALUES (200, 1, 52800, 'M', 76, 0.6778);</t>
  </si>
  <si>
    <t>INSERT INTO tblWMA (WMADistance, WMARoad, WMAWRTime, WMASex, WMAAge, WMAFactor) VALUES (200, 1, 52800, 'M', 77, 0.6655);</t>
  </si>
  <si>
    <t>INSERT INTO tblWMA (WMADistance, WMARoad, WMAWRTime, WMASex, WMAAge, WMAFactor) VALUES (200, 1, 52800, 'M', 78, 0.6526);</t>
  </si>
  <si>
    <t>INSERT INTO tblWMA (WMADistance, WMARoad, WMAWRTime, WMASex, WMAAge, WMAFactor) VALUES (200, 1, 52800, 'M', 79, 0.6389);</t>
  </si>
  <si>
    <t>INSERT INTO tblWMA (WMADistance, WMARoad, WMAWRTime, WMASex, WMAAge, WMAFactor) VALUES (200, 1, 52800, 'M', 80, 0.6245);</t>
  </si>
  <si>
    <t>INSERT INTO tblWMA (WMADistance, WMARoad, WMAWRTime, WMASex, WMAAge, WMAFactor) VALUES (200, 1, 52800, 'M', 81, 0.6095);</t>
  </si>
  <si>
    <t>INSERT INTO tblWMA (WMADistance, WMARoad, WMAWRTime, WMASex, WMAAge, WMAFactor) VALUES (200, 1, 52800, 'M', 82, 0.5937);</t>
  </si>
  <si>
    <t>INSERT INTO tblWMA (WMADistance, WMARoad, WMAWRTime, WMASex, WMAAge, WMAFactor) VALUES (200, 1, 52800, 'M', 83, 0.5773);</t>
  </si>
  <si>
    <t>INSERT INTO tblWMA (WMADistance, WMARoad, WMAWRTime, WMASex, WMAAge, WMAFactor) VALUES (200, 1, 52800, 'M', 84, 0.5601);</t>
  </si>
  <si>
    <t>INSERT INTO tblWMA (WMADistance, WMARoad, WMAWRTime, WMASex, WMAAge, WMAFactor) VALUES (200, 1, 52800, 'M', 85, 0.5422);</t>
  </si>
  <si>
    <t>INSERT INTO tblWMA (WMADistance, WMARoad, WMAWRTime, WMASex, WMAAge, WMAFactor) VALUES (200, 1, 52800, 'M', 86, 0.5237);</t>
  </si>
  <si>
    <t>INSERT INTO tblWMA (WMADistance, WMARoad, WMAWRTime, WMASex, WMAAge, WMAFactor) VALUES (200, 1, 52800, 'M', 87, 0.5044);</t>
  </si>
  <si>
    <t>INSERT INTO tblWMA (WMADistance, WMARoad, WMAWRTime, WMASex, WMAAge, WMAFactor) VALUES (200, 1, 52800, 'M', 88, 0.4845);</t>
  </si>
  <si>
    <t>INSERT INTO tblWMA (WMADistance, WMARoad, WMAWRTime, WMASex, WMAAge, WMAFactor) VALUES (200, 1, 52800, 'M', 89, 0.4638);</t>
  </si>
  <si>
    <t>INSERT INTO tblWMA (WMADistance, WMARoad, WMAWRTime, WMASex, WMAAge, WMAFactor) VALUES (200, 1, 52800, 'M', 90, 0.4424);</t>
  </si>
  <si>
    <t>INSERT INTO tblWMA (WMADistance, WMARoad, WMAWRTime, WMASex, WMAAge, WMAFactor) VALUES (200, 1, 52800, 'M', 91, 0.4204);</t>
  </si>
  <si>
    <t>INSERT INTO tblWMA (WMADistance, WMARoad, WMAWRTime, WMASex, WMAAge, WMAFactor) VALUES (200, 1, 52800, 'M', 92, 0.3976);</t>
  </si>
  <si>
    <t>INSERT INTO tblWMA (WMADistance, WMARoad, WMAWRTime, WMASex, WMAAge, WMAFactor) VALUES (200, 1, 52800, 'M', 93, 0.3742);</t>
  </si>
  <si>
    <t>INSERT INTO tblWMA (WMADistance, WMARoad, WMAWRTime, WMASex, WMAAge, WMAFactor) VALUES (200, 1, 52800, 'M', 94, 0.35);</t>
  </si>
  <si>
    <t>INSERT INTO tblWMA (WMADistance, WMARoad, WMAWRTime, WMASex, WMAAge, WMAFactor) VALUES (200, 1, 52800, 'M', 95, 0.3251);</t>
  </si>
  <si>
    <t>INSERT INTO tblWMA (WMADistance, WMARoad, WMAWRTime, WMASex, WMAAge, WMAFactor) VALUES (200, 1, 52800, 'M', 96, 0.2996);</t>
  </si>
  <si>
    <t>INSERT INTO tblWMA (WMADistance, WMARoad, WMAWRTime, WMASex, WMAAge, WMAFactor) VALUES (200, 1, 52800, 'M', 97, 0.2733);</t>
  </si>
  <si>
    <t>INSERT INTO tblWMA (WMADistance, WMARoad, WMAWRTime, WMASex, WMAAge, WMAFactor) VALUES (200, 1, 52800, 'M', 98, 0.2464);</t>
  </si>
  <si>
    <t>INSERT INTO tblWMA (WMADistance, WMARoad, WMAWRTime, WMASex, WMAAge, WMAFactor) VALUES (200, 1, 52800, 'M', 99, 0.2187);</t>
  </si>
  <si>
    <t>INSERT INTO tblWMA (WMADistance, WMARoad, WMAWRTime, WMASex, WMAAge, WMAFactor) VALUES (200, 1, 52800, 'M', 100, 0.1903);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</si>
</sst>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"/>
  </numFmts>
  <fonts count="8"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</cellStyleXfs>
  <cellXfs count="14">
    <xf numFmtId="0" fontId="0" fillId="0" borderId="0" xfId="0"/>
    <xf numFmtId="0" fontId="0" fillId="2" borderId="0" xfId="0" applyFill="1"/>
    <xf numFmtId="0" fontId="3" fillId="2" borderId="0" xfId="0" applyFont="1" applyFill="1"/>
    <xf numFmtId="0" fontId="0" fillId="4" borderId="0" xfId="0" applyFill="1"/>
    <xf numFmtId="0" fontId="4" fillId="3" borderId="0" xfId="0" applyFont="1" applyFill="1"/>
    <xf numFmtId="0" fontId="3" fillId="4" borderId="0" xfId="0" applyFont="1" applyFill="1"/>
    <xf numFmtId="2" fontId="0" fillId="4" borderId="0" xfId="0" applyNumberFormat="1" applyFill="1"/>
    <xf numFmtId="9" fontId="0" fillId="4" borderId="0" xfId="1" applyFont="1" applyFill="1"/>
    <xf numFmtId="164" fontId="0" fillId="4" borderId="0" xfId="0" applyNumberFormat="1" applyFill="1"/>
    <xf numFmtId="2" fontId="0" fillId="0" borderId="0" xfId="0" applyNumberFormat="1"/>
    <xf numFmtId="0" fontId="6" fillId="6" borderId="1" xfId="3"/>
    <xf numFmtId="0" fontId="0" fillId="0" borderId="0" xfId="0" applyAlignment="1">
      <alignment horizontal="right"/>
    </xf>
    <xf numFmtId="0" fontId="5" fillId="5" borderId="1" xfId="2"/>
    <xf numFmtId="165" fontId="0" fillId="0" borderId="0" xfId="0" applyNumberFormat="1"/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1">
    <dxf>
      <numFmt numFmtId="165" formatCode="0.0000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30</xdr:row>
          <xdr:rowOff>66675</xdr:rowOff>
        </xdr:from>
        <xdr:to>
          <xdr:col>2</xdr:col>
          <xdr:colOff>533400</xdr:colOff>
          <xdr:row>32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Insert Statement For Main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30</xdr:row>
          <xdr:rowOff>66675</xdr:rowOff>
        </xdr:from>
        <xdr:to>
          <xdr:col>7</xdr:col>
          <xdr:colOff>123825</xdr:colOff>
          <xdr:row>32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Insert Statement For Custom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30</xdr:row>
          <xdr:rowOff>76200</xdr:rowOff>
        </xdr:from>
        <xdr:to>
          <xdr:col>2</xdr:col>
          <xdr:colOff>647700</xdr:colOff>
          <xdr:row>32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Insert Statement For Main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30</xdr:row>
          <xdr:rowOff>66675</xdr:rowOff>
        </xdr:from>
        <xdr:to>
          <xdr:col>7</xdr:col>
          <xdr:colOff>57150</xdr:colOff>
          <xdr:row>32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Insert Statement For Custom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8CC25B-9A4E-46A8-81C3-524720A68B05}" name="Table1" displayName="Table1" ref="A1:CV22" totalsRowShown="0">
  <autoFilter ref="A1:CV22" xr:uid="{B70DCE67-3C2A-4C2E-9AC2-FD33CD943D2E}"/>
  <tableColumns count="100">
    <tableColumn id="1" xr3:uid="{9334498E-5ACC-400B-9DB1-6168C164E9D7}" name="EventID"/>
    <tableColumn id="2" xr3:uid="{158F97FE-F9C6-43EC-8733-0D8D5D16864B}" name="Event"/>
    <tableColumn id="3" xr3:uid="{02849747-CB05-4FF5-888B-18446ED8A5F2}" name="dist(km)" dataDxfId="0"/>
    <tableColumn id="4" xr3:uid="{6CAEE9BE-6E25-472D-9A33-7FDCC488B545}" name="OC"/>
    <tableColumn id="5" xr3:uid="{A1BD13BA-7A25-48A4-9FDE-C0CDF6AEA275}" name="5"/>
    <tableColumn id="6" xr3:uid="{399ED2A0-094B-4BEB-B955-65AFA47EFBD4}" name="6"/>
    <tableColumn id="7" xr3:uid="{11A39B93-9196-4D86-B776-D67FA58A19C6}" name="7"/>
    <tableColumn id="8" xr3:uid="{7156D031-4B5F-4638-89C8-75C290CCB7A1}" name="8"/>
    <tableColumn id="9" xr3:uid="{C9B980AA-A9A3-4D20-966A-355B026AC589}" name="9"/>
    <tableColumn id="10" xr3:uid="{0972EAE3-8FD0-4E24-A094-BC4E298322D4}" name="10"/>
    <tableColumn id="11" xr3:uid="{C37E96B2-D755-4BB9-9A63-E62A2069E130}" name="11"/>
    <tableColumn id="12" xr3:uid="{D187FA5D-FDBA-4ECB-95BD-4D0E515CC719}" name="12"/>
    <tableColumn id="13" xr3:uid="{62E6802C-56D6-4E51-98C2-52798A19D4D1}" name="13"/>
    <tableColumn id="14" xr3:uid="{B3E95929-00A8-490B-9D89-86E6E4124EA8}" name="14"/>
    <tableColumn id="15" xr3:uid="{9DD34FF2-54EF-4A19-9321-515AED0BD751}" name="15"/>
    <tableColumn id="16" xr3:uid="{9E67B559-4DB7-43C6-961D-63E82428DA04}" name="16"/>
    <tableColumn id="17" xr3:uid="{19690B3C-B826-4D91-9F63-5E0502D28123}" name="17"/>
    <tableColumn id="18" xr3:uid="{2A19BBBC-262D-42A2-BC9D-74E428118E3D}" name="18"/>
    <tableColumn id="19" xr3:uid="{C822CB51-52E4-4790-B841-2F72E6A03783}" name="19"/>
    <tableColumn id="20" xr3:uid="{99C9EC04-B7A8-4FCA-A19F-B17BA4C6CC00}" name="20"/>
    <tableColumn id="21" xr3:uid="{337FE48A-B398-4105-A6C1-50E78A318D18}" name="21"/>
    <tableColumn id="22" xr3:uid="{1FA55E21-5806-4AD6-933A-D4BA417D9F5A}" name="22"/>
    <tableColumn id="23" xr3:uid="{8CE0FAC0-1094-48AE-9345-D9E230E417F8}" name="23"/>
    <tableColumn id="24" xr3:uid="{0828C4CC-D8B2-4699-8DD9-C8E49E49FE20}" name="24"/>
    <tableColumn id="25" xr3:uid="{D7E5AE15-6009-41E1-BD16-A6258D048D37}" name="25"/>
    <tableColumn id="26" xr3:uid="{181A3329-0AB7-41E2-B40A-D51DD64DF108}" name="26"/>
    <tableColumn id="27" xr3:uid="{1C043F3D-195A-45D5-92D3-6D0E2BF7D132}" name="27"/>
    <tableColumn id="28" xr3:uid="{894DF52A-E07C-492B-BB6C-5E6F16A8393C}" name="28"/>
    <tableColumn id="29" xr3:uid="{9CB457C9-6A03-4C38-A260-4876C153ACB1}" name="29"/>
    <tableColumn id="30" xr3:uid="{823342A3-DB0B-48F8-9492-F42B7BDD58D9}" name="30"/>
    <tableColumn id="31" xr3:uid="{AE28A357-A340-47DE-8F74-CCB08A14CC3C}" name="31"/>
    <tableColumn id="32" xr3:uid="{69AEDAD5-7B46-43C6-AA68-3F0DD83B0F77}" name="32"/>
    <tableColumn id="33" xr3:uid="{5B94D386-6A32-4497-92A1-4603410C00D1}" name="33"/>
    <tableColumn id="34" xr3:uid="{B565E60C-BC47-4BA9-96F7-389CEA9CECDA}" name="34"/>
    <tableColumn id="35" xr3:uid="{72006CC1-1CC0-473E-A1BA-945DAC04308A}" name="35"/>
    <tableColumn id="36" xr3:uid="{9A7835B8-34A8-45CD-9F0D-BC97D493443D}" name="36"/>
    <tableColumn id="37" xr3:uid="{661C18AA-9EF3-4CEF-9CF4-EF9E6CA5F0AC}" name="37"/>
    <tableColumn id="38" xr3:uid="{4EF28A2C-D426-48F9-AE96-A43858294D0D}" name="38"/>
    <tableColumn id="39" xr3:uid="{2C8C1104-148F-49AA-AE0D-46C61B468389}" name="39"/>
    <tableColumn id="40" xr3:uid="{B69BE717-0B77-4CD9-9B6C-AD708B1C997F}" name="40"/>
    <tableColumn id="41" xr3:uid="{66143252-526A-42D4-A259-BE40F42C336D}" name="41"/>
    <tableColumn id="42" xr3:uid="{2A647259-9C63-4B6E-87EF-541F10AAA6E5}" name="42"/>
    <tableColumn id="43" xr3:uid="{4B0AF8E4-3CA8-4DF4-BE10-624ADA04BAE2}" name="43"/>
    <tableColumn id="44" xr3:uid="{6C481DE2-2D8A-4400-8453-A14A12297120}" name="44"/>
    <tableColumn id="45" xr3:uid="{19D89A30-72AD-4C40-A8D9-C352558CD27F}" name="45"/>
    <tableColumn id="46" xr3:uid="{2ADA147E-81C6-4588-9B19-DC1A04935906}" name="46"/>
    <tableColumn id="47" xr3:uid="{2115CB43-1AFA-4F40-8179-039F15BB7AE4}" name="47"/>
    <tableColumn id="48" xr3:uid="{E47154A4-758F-4CFA-8AD4-37C2D9DFC649}" name="48"/>
    <tableColumn id="49" xr3:uid="{008199CB-7D2D-4369-BAEB-48D18B4CAE3E}" name="49"/>
    <tableColumn id="50" xr3:uid="{B41C3F51-6244-47D8-91BA-2262E11A5B32}" name="50"/>
    <tableColumn id="51" xr3:uid="{378D13CD-4BC6-4B29-BA45-18F30C400848}" name="51"/>
    <tableColumn id="52" xr3:uid="{174FF9EF-1BE6-47B6-A202-31B8BD922443}" name="52"/>
    <tableColumn id="53" xr3:uid="{C2B1C1CA-E0D9-4F6F-89AB-699A70F41D42}" name="53"/>
    <tableColumn id="54" xr3:uid="{E6BB3C02-8992-4864-9F5C-B5CBD812E0E0}" name="54"/>
    <tableColumn id="55" xr3:uid="{851049E5-E06A-4850-82C0-FBE160206D04}" name="55"/>
    <tableColumn id="56" xr3:uid="{A01A76FB-8510-4CFC-A245-D183AD56101C}" name="56"/>
    <tableColumn id="57" xr3:uid="{473F394D-6DF2-44FC-AC56-4F92BD83BCEB}" name="57"/>
    <tableColumn id="58" xr3:uid="{C07D7202-F53C-4B8F-8AFB-3459CB6B70CA}" name="58"/>
    <tableColumn id="59" xr3:uid="{D3E00E5F-3CD7-495D-9892-A09B4C590126}" name="59"/>
    <tableColumn id="60" xr3:uid="{C65CC109-9A4B-4C72-BA52-41E00215A361}" name="60"/>
    <tableColumn id="61" xr3:uid="{1E19055F-D383-45E4-B617-9197C40954FD}" name="61"/>
    <tableColumn id="62" xr3:uid="{18A37955-430C-4C4E-A93C-40FF75E14B3A}" name="62"/>
    <tableColumn id="63" xr3:uid="{1101DCFA-2EF4-4644-8DE8-1D5EF38A9CC0}" name="63"/>
    <tableColumn id="64" xr3:uid="{4FD09786-0B0E-444E-BE40-37EC4351BB4C}" name="64"/>
    <tableColumn id="65" xr3:uid="{C621FAA6-D6F8-4E1B-84BA-B5F5E9F2A881}" name="65"/>
    <tableColumn id="66" xr3:uid="{A5AA7C85-63F1-46A1-BE2F-F76BA7EEC40C}" name="66"/>
    <tableColumn id="67" xr3:uid="{B5EC6FA6-3EF6-465D-891C-FD7338B31808}" name="67"/>
    <tableColumn id="68" xr3:uid="{DC386197-8372-4406-90CB-3B5712F2A096}" name="68"/>
    <tableColumn id="69" xr3:uid="{EE759542-9B1C-44EF-9951-C51D48A04E3C}" name="69"/>
    <tableColumn id="70" xr3:uid="{685999A1-BAE5-4AD4-AF66-4405AE37608C}" name="70"/>
    <tableColumn id="71" xr3:uid="{DF5ED9F9-E13E-491B-BC90-0C07E011AE4F}" name="71"/>
    <tableColumn id="72" xr3:uid="{9C129BC3-0D51-4E92-A3C9-02C42DB56B3F}" name="72"/>
    <tableColumn id="73" xr3:uid="{0DD56DE6-FB97-4A30-A42D-92FF1F37B0B9}" name="73"/>
    <tableColumn id="74" xr3:uid="{057A45F6-1C23-4F07-804D-B7F089713D46}" name="74"/>
    <tableColumn id="75" xr3:uid="{87A5BDBD-CF50-46CA-80CC-E3212C82FFCC}" name="75"/>
    <tableColumn id="76" xr3:uid="{0840E8D4-1D95-4969-8F54-345DBFB714D0}" name="76"/>
    <tableColumn id="77" xr3:uid="{E6A0AB27-A39B-429B-8F40-66FCA970E8C5}" name="77"/>
    <tableColumn id="78" xr3:uid="{1B158BF8-A664-41D7-9079-59560F446DEA}" name="78"/>
    <tableColumn id="79" xr3:uid="{7DB0636D-FE93-4B0A-8C77-AEE29800AF41}" name="79"/>
    <tableColumn id="80" xr3:uid="{34ABBCFF-8710-45DE-B37F-5D4C8958BB86}" name="80"/>
    <tableColumn id="81" xr3:uid="{E3E6874B-00F6-499A-B0E7-62130AA054BF}" name="81"/>
    <tableColumn id="82" xr3:uid="{0C1C8F3E-4363-48AE-BF69-9DCC6938256C}" name="82"/>
    <tableColumn id="83" xr3:uid="{7D1DEEE2-B6D5-4809-A494-8A940CB85AB6}" name="83"/>
    <tableColumn id="84" xr3:uid="{AD5C6A3C-69FA-441A-8F21-4CA5073BB7FC}" name="84"/>
    <tableColumn id="85" xr3:uid="{E89DB4CF-0FC6-4519-99DB-DD04BD409F5C}" name="85"/>
    <tableColumn id="86" xr3:uid="{36148329-078B-41A5-B4BD-9710A0B6F8D9}" name="86"/>
    <tableColumn id="87" xr3:uid="{3AAAB08B-E19B-4080-BC57-8B43D8E4BD46}" name="87"/>
    <tableColumn id="88" xr3:uid="{6B89BDD2-05BC-43AA-9B0D-27734032DCEC}" name="88"/>
    <tableColumn id="89" xr3:uid="{CF77E7BB-E0EA-491D-A5EB-CC64A99CCD07}" name="89"/>
    <tableColumn id="90" xr3:uid="{3A2CD0CA-D852-46E3-BA2F-FB3397351BB0}" name="90"/>
    <tableColumn id="91" xr3:uid="{16C587AC-769C-44FF-BB1F-02E72B8949B3}" name="91"/>
    <tableColumn id="92" xr3:uid="{61BA13CC-FEDA-45E4-97D2-FFCE05395652}" name="92"/>
    <tableColumn id="93" xr3:uid="{7B68A8C6-E942-45AC-BE22-FFBA9D9B38E6}" name="93"/>
    <tableColumn id="94" xr3:uid="{95F9B9BC-B043-4D25-95FE-2F010FF629CD}" name="94"/>
    <tableColumn id="95" xr3:uid="{9103D089-C264-44EB-B026-B51CFA506075}" name="95"/>
    <tableColumn id="96" xr3:uid="{A612EA52-9697-4E43-9CD5-CD46E9A87BE1}" name="96"/>
    <tableColumn id="97" xr3:uid="{00693EF9-CBC0-48AB-BFCA-ED3BBD7C7CCB}" name="97"/>
    <tableColumn id="98" xr3:uid="{0FB55BEA-AA5F-4FF1-8249-AB2DE2E4F235}" name="98"/>
    <tableColumn id="99" xr3:uid="{4AE822A5-410E-481E-977F-2FECE979FB86}" name="99"/>
    <tableColumn id="100" xr3:uid="{5311E5D7-5642-4094-B497-7A364008B1F5}" name="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B1A848-1A6A-4B7E-B7A7-58A3565D3BD0}" name="Table3" displayName="Table3" ref="A34:A2050" totalsRowShown="0">
  <autoFilter ref="A34:A2050" xr:uid="{C169564B-E72C-4E4D-B725-4CB07F55994D}"/>
  <tableColumns count="1">
    <tableColumn id="1" xr3:uid="{95AF5A76-38B4-4BBD-A979-808C404769B4}" name="Instert Statements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103849-EE24-40DB-9C22-77A995F7F9BD}" name="Table4" displayName="Table4" ref="A1:CV22" totalsRowShown="0">
  <autoFilter ref="A1:CV22" xr:uid="{D58847F2-ADF9-4DE7-8CEC-C266CF5776FB}"/>
  <tableColumns count="100">
    <tableColumn id="1" xr3:uid="{3C3E27D9-E006-45F1-8DD6-C70C3897897C}" name="EventID"/>
    <tableColumn id="2" xr3:uid="{BA3E6E40-221C-4639-B21C-4C15FD503979}" name="Event"/>
    <tableColumn id="3" xr3:uid="{1622000B-0B64-4DE4-9977-F51CBF420701}" name="dist(km)"/>
    <tableColumn id="4" xr3:uid="{F791C665-4179-438F-8286-FA5D41E9ACBC}" name="OC"/>
    <tableColumn id="5" xr3:uid="{9C0B50CF-D03A-4C4D-9D89-7B1335CB29BA}" name="5"/>
    <tableColumn id="6" xr3:uid="{F5CDC94C-1B70-4134-8CFC-A4BE88D62241}" name="6"/>
    <tableColumn id="7" xr3:uid="{581D1200-4610-41ED-AD06-0BDD60AF9E45}" name="7"/>
    <tableColumn id="8" xr3:uid="{CB78C380-1099-4B93-BF5D-CA7FED4FDBC9}" name="8"/>
    <tableColumn id="9" xr3:uid="{B4B4869A-8838-4710-92C3-DC427A3777F8}" name="9"/>
    <tableColumn id="10" xr3:uid="{BCDBC38C-E168-4622-97D5-64D98D360757}" name="10"/>
    <tableColumn id="11" xr3:uid="{98317030-7EFA-4604-8552-1129412B3E0B}" name="11"/>
    <tableColumn id="12" xr3:uid="{375C1791-52E8-41F5-8740-CD935E4C066C}" name="12"/>
    <tableColumn id="13" xr3:uid="{E6165C1A-1FA3-4DA6-8B4B-4FDAFA339EA2}" name="13"/>
    <tableColumn id="14" xr3:uid="{B2E750C4-04AB-4F2A-9CEC-AA04E741A3F6}" name="14"/>
    <tableColumn id="15" xr3:uid="{C363E90E-5D01-486A-A8BE-054D2FEF3753}" name="15"/>
    <tableColumn id="16" xr3:uid="{7194EE6A-240A-4DB3-9AC7-5E0894BCFDE1}" name="16"/>
    <tableColumn id="17" xr3:uid="{CB376318-2E1D-4271-92F4-5E15D8D415F9}" name="17"/>
    <tableColumn id="18" xr3:uid="{FBF8BC4C-C542-4141-A7A3-45CD6C4D28B5}" name="18"/>
    <tableColumn id="19" xr3:uid="{71AF18D0-E10C-4043-946C-4F44BCBEDE36}" name="19"/>
    <tableColumn id="20" xr3:uid="{8E48F84C-E3D7-4941-B3D4-AD69C7489C9E}" name="20"/>
    <tableColumn id="21" xr3:uid="{518430C3-93F8-406A-9D0F-5F2733071761}" name="21"/>
    <tableColumn id="22" xr3:uid="{FD78F1E8-B687-45C2-8BBB-881769D8F2B4}" name="22"/>
    <tableColumn id="23" xr3:uid="{22EB7C1C-81EC-4663-8D14-BF44BA5911F8}" name="23"/>
    <tableColumn id="24" xr3:uid="{6CE52D2B-8DB5-4813-B9DC-E4E52F36588C}" name="24"/>
    <tableColumn id="25" xr3:uid="{97A06CA8-1948-40CF-B73D-F769CEC59181}" name="25"/>
    <tableColumn id="26" xr3:uid="{1B0CDF04-BF6C-46EC-AAE5-142E6F901CAE}" name="26"/>
    <tableColumn id="27" xr3:uid="{EBB7CD44-7206-4188-B286-63349F2BBE61}" name="27"/>
    <tableColumn id="28" xr3:uid="{A47C728A-A6F9-4806-9653-0FEDE6C186DB}" name="28"/>
    <tableColumn id="29" xr3:uid="{CAEFEDA3-07A4-4112-B68E-43883B0EE752}" name="29"/>
    <tableColumn id="30" xr3:uid="{8F6FF1B9-DA4E-4D6A-A44C-A8D4DA8C7B18}" name="30"/>
    <tableColumn id="31" xr3:uid="{D608793A-3C50-4B64-8B1A-64E60FDE6D42}" name="31"/>
    <tableColumn id="32" xr3:uid="{47AE02E2-C703-4EA9-A6C7-B4F6A929C7A3}" name="32"/>
    <tableColumn id="33" xr3:uid="{1FA4A24A-1D11-4E65-835B-CBF55A2618E9}" name="33"/>
    <tableColumn id="34" xr3:uid="{F8E46786-3234-4180-88F5-C70397EF8A39}" name="34"/>
    <tableColumn id="35" xr3:uid="{27E2ACA4-C0CD-4BC9-A10E-EB257A5DB2A3}" name="35"/>
    <tableColumn id="36" xr3:uid="{A58D232B-2DF0-4D21-9B7D-F4AC90477B0B}" name="36"/>
    <tableColumn id="37" xr3:uid="{77D2C9E4-79C7-4F91-AC45-20F749D31D4E}" name="37"/>
    <tableColumn id="38" xr3:uid="{169891E6-A9B5-4189-96FF-55E1458672F5}" name="38"/>
    <tableColumn id="39" xr3:uid="{FBC63F1A-F870-4E2D-BEF5-8F4D9D1FCDD4}" name="39"/>
    <tableColumn id="40" xr3:uid="{836EB639-E48C-4059-9A9A-3E6796E59504}" name="40"/>
    <tableColumn id="41" xr3:uid="{B44B8E5E-6B35-4DBA-A5DB-37C7C97B1A44}" name="41"/>
    <tableColumn id="42" xr3:uid="{290B26A6-6AE6-4418-9B7A-3687E2442428}" name="42"/>
    <tableColumn id="43" xr3:uid="{419A5C6B-18FA-41CD-86E1-A072EA9D8EFA}" name="43"/>
    <tableColumn id="44" xr3:uid="{A6C5BE83-060D-4438-B74D-E3706D5ADB9B}" name="44"/>
    <tableColumn id="45" xr3:uid="{F60F3FD4-8D65-4909-9DDA-A2051F3A2084}" name="45"/>
    <tableColumn id="46" xr3:uid="{0E1C8F02-7F61-44A4-93F1-B6F102AE00F9}" name="46"/>
    <tableColumn id="47" xr3:uid="{F0E3284F-843B-4A90-9DDE-44BDC6C1504E}" name="47"/>
    <tableColumn id="48" xr3:uid="{F9B314E8-7087-4902-9A7E-72D982A0D057}" name="48"/>
    <tableColumn id="49" xr3:uid="{F9F1BD43-E385-4C81-8145-9582E5E2A7FD}" name="49"/>
    <tableColumn id="50" xr3:uid="{E0398657-091B-4014-A96F-8183F3A96C80}" name="50"/>
    <tableColumn id="51" xr3:uid="{F712E894-C7E8-4845-9FCD-C88D25751E26}" name="51"/>
    <tableColumn id="52" xr3:uid="{E800AECF-E580-49E4-9852-A35569BC1B6B}" name="52"/>
    <tableColumn id="53" xr3:uid="{48C3CD70-10E0-48A4-83E2-5A65E9C982E1}" name="53"/>
    <tableColumn id="54" xr3:uid="{4ED5458F-0F02-4211-963A-5AA216D003D9}" name="54"/>
    <tableColumn id="55" xr3:uid="{C17CD217-0825-4018-A162-930B039DE010}" name="55"/>
    <tableColumn id="56" xr3:uid="{DC27CFF9-1F9E-4430-8E13-F1A62ECE6DFD}" name="56"/>
    <tableColumn id="57" xr3:uid="{16C6A9A5-3F90-4C10-82F3-892937CF7748}" name="57"/>
    <tableColumn id="58" xr3:uid="{C0810DB1-9C0B-4C10-A369-60BA46601B59}" name="58"/>
    <tableColumn id="59" xr3:uid="{52B3B96D-3A62-4358-A39A-B16CC31044F3}" name="59"/>
    <tableColumn id="60" xr3:uid="{B13C0711-1BED-438C-8181-0D271EFF3FD6}" name="60"/>
    <tableColumn id="61" xr3:uid="{4A75380C-C5FC-410E-80B7-AE37BD292E76}" name="61"/>
    <tableColumn id="62" xr3:uid="{FF6F852B-0E75-4F92-976D-94273C2E3441}" name="62"/>
    <tableColumn id="63" xr3:uid="{32F8E7EF-AA59-48B2-8251-65CB690BFF45}" name="63"/>
    <tableColumn id="64" xr3:uid="{D766CD3F-4A55-49F6-979E-316218219389}" name="64"/>
    <tableColumn id="65" xr3:uid="{6D268EB9-CA2C-4D8F-A037-60EDEA546612}" name="65"/>
    <tableColumn id="66" xr3:uid="{9F91FFC8-59C8-4984-8C52-336494D5A2E3}" name="66"/>
    <tableColumn id="67" xr3:uid="{7A855AF8-3A7C-4367-870C-1765EF37B569}" name="67"/>
    <tableColumn id="68" xr3:uid="{734AE463-3F08-48C6-87BF-35EF442362A8}" name="68"/>
    <tableColumn id="69" xr3:uid="{C9ECACAB-E718-4E55-8BFB-E4BBD618C119}" name="69"/>
    <tableColumn id="70" xr3:uid="{95FAFC6E-375E-4FEC-88E6-BE19A7D268F7}" name="70"/>
    <tableColumn id="71" xr3:uid="{D372881D-FDF4-4C69-AAE8-CC7044069B39}" name="71"/>
    <tableColumn id="72" xr3:uid="{A9389BE2-5809-4163-9C40-C7874D353BD4}" name="72"/>
    <tableColumn id="73" xr3:uid="{33EFC04E-635A-4124-BAAA-A19891B3C579}" name="73"/>
    <tableColumn id="74" xr3:uid="{FC966120-84DC-4841-9508-0F32D5D76903}" name="74"/>
    <tableColumn id="75" xr3:uid="{7C9FEC3E-6713-4077-AD8B-9B89E49EBAD9}" name="75"/>
    <tableColumn id="76" xr3:uid="{433CDC4B-604B-4DA9-882F-4FB88B77ADC9}" name="76"/>
    <tableColumn id="77" xr3:uid="{47BAFC93-6E64-4448-A39F-53591A097205}" name="77"/>
    <tableColumn id="78" xr3:uid="{7683F4AD-1100-44F6-914E-1B58CA31B61A}" name="78"/>
    <tableColumn id="79" xr3:uid="{AA159EE5-BD24-43EA-A9E5-4EF3A40A3AFD}" name="79"/>
    <tableColumn id="80" xr3:uid="{F4CF8043-418E-4263-8641-0FEBBAFA5767}" name="80"/>
    <tableColumn id="81" xr3:uid="{3ED82379-C9BE-4C99-B192-5226AB1E4955}" name="81"/>
    <tableColumn id="82" xr3:uid="{D3CB6EA2-3498-478D-A047-EFF07DDD1034}" name="82"/>
    <tableColumn id="83" xr3:uid="{DDE72DE2-F050-48EB-ACB6-AC85A695BCEF}" name="83"/>
    <tableColumn id="84" xr3:uid="{F84E5B0D-2F2D-403E-A936-ADD644755FD8}" name="84"/>
    <tableColumn id="85" xr3:uid="{8E9931A3-9340-4F2C-9EA0-85837AA23903}" name="85"/>
    <tableColumn id="86" xr3:uid="{BB8EF399-BDD3-4C88-A961-660AD4A2785F}" name="86"/>
    <tableColumn id="87" xr3:uid="{94F7DFC8-1FCB-4989-80CD-09AFD29614CE}" name="87"/>
    <tableColumn id="88" xr3:uid="{2986EBB2-B2A7-4729-AC79-2548ED05FE71}" name="88"/>
    <tableColumn id="89" xr3:uid="{D32F019F-71BD-48C8-AAFD-169BC95F1C8E}" name="89"/>
    <tableColumn id="90" xr3:uid="{12866DE0-3BD0-47AA-B875-661293EF5439}" name="90"/>
    <tableColumn id="91" xr3:uid="{2F62BB99-5852-43B5-BBA9-0907F5AC55F3}" name="91"/>
    <tableColumn id="92" xr3:uid="{938633F1-D9CA-4B7A-BF51-8BE9C432FECF}" name="92"/>
    <tableColumn id="93" xr3:uid="{6BCE777D-E5C8-4AC6-A96E-65F9A3BC3409}" name="93"/>
    <tableColumn id="94" xr3:uid="{2C598FAC-E7C9-4DEC-B103-DBF7CCBBCC93}" name="94"/>
    <tableColumn id="95" xr3:uid="{72536CBB-7886-47EC-80E5-37F7A58AA238}" name="95"/>
    <tableColumn id="96" xr3:uid="{5E18AE7A-D9B8-42C9-9C34-9AC64B4D4181}" name="96"/>
    <tableColumn id="97" xr3:uid="{B1D8693F-2EA8-4D16-A606-4C82C9EEA163}" name="97"/>
    <tableColumn id="98" xr3:uid="{8BE0792D-AB0C-4696-82E0-FFDA6B552D3E}" name="98"/>
    <tableColumn id="99" xr3:uid="{F0209499-9B0F-498A-945C-7800C5AD9990}" name="99"/>
    <tableColumn id="100" xr3:uid="{E790BF9B-1BFB-4B12-A377-BE1AA10F7087}" name="10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6FF831-C583-4659-A82F-FBBEA0CE3756}" name="Table5" displayName="Table5" ref="A34:A2050" totalsRowShown="0">
  <autoFilter ref="A34:A2050" xr:uid="{51A28D31-AFF1-47E1-80D1-381408B4EC16}"/>
  <tableColumns count="1">
    <tableColumn id="1" xr3:uid="{8EC21A9F-A073-435E-A5D7-CF532EA1CDE6}" name="Insert Statement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CV2050"/>
  <sheetViews>
    <sheetView workbookViewId="0">
      <pane xSplit="4" ySplit="1" topLeftCell="E2007" activePane="bottomRight" state="frozen"/>
      <selection pane="topRight" activeCell="E1" sqref="E1"/>
      <selection pane="bottomLeft" activeCell="A2" sqref="A2"/>
      <selection pane="bottomRight" activeCell="A35" sqref="A35:A2050"/>
    </sheetView>
  </sheetViews>
  <sheetFormatPr defaultRowHeight="12.75" x14ac:dyDescent="0.2"/>
  <cols>
    <col min="1" max="1" width="19.42578125" customWidth="1"/>
    <col min="2" max="2" width="15.140625" bestFit="1" customWidth="1"/>
    <col min="3" max="3" width="15.7109375" bestFit="1" customWidth="1"/>
    <col min="4" max="4" width="9.28515625" bestFit="1" customWidth="1"/>
  </cols>
  <sheetData>
    <row r="1" spans="1:100" x14ac:dyDescent="0.2">
      <c r="A1" t="s">
        <v>81</v>
      </c>
      <c r="B1" t="s">
        <v>22</v>
      </c>
      <c r="C1" t="s">
        <v>20</v>
      </c>
      <c r="D1" t="s">
        <v>19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95</v>
      </c>
      <c r="S1" t="s">
        <v>96</v>
      </c>
      <c r="T1" t="s">
        <v>97</v>
      </c>
      <c r="U1" t="s">
        <v>98</v>
      </c>
      <c r="V1" t="s">
        <v>99</v>
      </c>
      <c r="W1" t="s">
        <v>100</v>
      </c>
      <c r="X1" t="s">
        <v>101</v>
      </c>
      <c r="Y1" t="s">
        <v>102</v>
      </c>
      <c r="Z1" t="s">
        <v>103</v>
      </c>
      <c r="AA1" t="s">
        <v>104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110</v>
      </c>
      <c r="AH1" t="s">
        <v>111</v>
      </c>
      <c r="AI1" t="s">
        <v>112</v>
      </c>
      <c r="AJ1" t="s">
        <v>113</v>
      </c>
      <c r="AK1" t="s">
        <v>114</v>
      </c>
      <c r="AL1" t="s">
        <v>115</v>
      </c>
      <c r="AM1" t="s">
        <v>116</v>
      </c>
      <c r="AN1" t="s">
        <v>117</v>
      </c>
      <c r="AO1" t="s">
        <v>118</v>
      </c>
      <c r="AP1" t="s">
        <v>119</v>
      </c>
      <c r="AQ1" t="s">
        <v>120</v>
      </c>
      <c r="AR1" t="s">
        <v>121</v>
      </c>
      <c r="AS1" t="s">
        <v>122</v>
      </c>
      <c r="AT1" t="s">
        <v>123</v>
      </c>
      <c r="AU1" t="s">
        <v>124</v>
      </c>
      <c r="AV1" t="s">
        <v>125</v>
      </c>
      <c r="AW1" t="s">
        <v>126</v>
      </c>
      <c r="AX1" t="s">
        <v>127</v>
      </c>
      <c r="AY1" t="s">
        <v>128</v>
      </c>
      <c r="AZ1" t="s">
        <v>129</v>
      </c>
      <c r="BA1" t="s">
        <v>130</v>
      </c>
      <c r="BB1" t="s">
        <v>131</v>
      </c>
      <c r="BC1" t="s">
        <v>132</v>
      </c>
      <c r="BD1" t="s">
        <v>133</v>
      </c>
      <c r="BE1" t="s">
        <v>134</v>
      </c>
      <c r="BF1" t="s">
        <v>135</v>
      </c>
      <c r="BG1" t="s">
        <v>136</v>
      </c>
      <c r="BH1" t="s">
        <v>137</v>
      </c>
      <c r="BI1" t="s">
        <v>138</v>
      </c>
      <c r="BJ1" t="s">
        <v>139</v>
      </c>
      <c r="BK1" t="s">
        <v>140</v>
      </c>
      <c r="BL1" t="s">
        <v>141</v>
      </c>
      <c r="BM1" t="s">
        <v>142</v>
      </c>
      <c r="BN1" t="s">
        <v>143</v>
      </c>
      <c r="BO1" t="s">
        <v>144</v>
      </c>
      <c r="BP1" t="s">
        <v>145</v>
      </c>
      <c r="BQ1" t="s">
        <v>146</v>
      </c>
      <c r="BR1" t="s">
        <v>147</v>
      </c>
      <c r="BS1" t="s">
        <v>148</v>
      </c>
      <c r="BT1" t="s">
        <v>149</v>
      </c>
      <c r="BU1" t="s">
        <v>150</v>
      </c>
      <c r="BV1" t="s">
        <v>151</v>
      </c>
      <c r="BW1" t="s">
        <v>152</v>
      </c>
      <c r="BX1" t="s">
        <v>153</v>
      </c>
      <c r="BY1" t="s">
        <v>154</v>
      </c>
      <c r="BZ1" t="s">
        <v>155</v>
      </c>
      <c r="CA1" t="s">
        <v>156</v>
      </c>
      <c r="CB1" t="s">
        <v>157</v>
      </c>
      <c r="CC1" t="s">
        <v>158</v>
      </c>
      <c r="CD1" t="s">
        <v>159</v>
      </c>
      <c r="CE1" t="s">
        <v>160</v>
      </c>
      <c r="CF1" t="s">
        <v>161</v>
      </c>
      <c r="CG1" t="s">
        <v>162</v>
      </c>
      <c r="CH1" t="s">
        <v>163</v>
      </c>
      <c r="CI1" t="s">
        <v>164</v>
      </c>
      <c r="CJ1" t="s">
        <v>165</v>
      </c>
      <c r="CK1" t="s">
        <v>166</v>
      </c>
      <c r="CL1" t="s">
        <v>167</v>
      </c>
      <c r="CM1" t="s">
        <v>168</v>
      </c>
      <c r="CN1" t="s">
        <v>169</v>
      </c>
      <c r="CO1" t="s">
        <v>170</v>
      </c>
      <c r="CP1" t="s">
        <v>171</v>
      </c>
      <c r="CQ1" t="s">
        <v>172</v>
      </c>
      <c r="CR1" t="s">
        <v>173</v>
      </c>
      <c r="CS1" t="s">
        <v>174</v>
      </c>
      <c r="CT1" t="s">
        <v>175</v>
      </c>
      <c r="CU1" t="s">
        <v>176</v>
      </c>
      <c r="CV1" t="s">
        <v>177</v>
      </c>
    </row>
    <row r="2" spans="1:100" x14ac:dyDescent="0.2">
      <c r="A2" t="s">
        <v>72</v>
      </c>
      <c r="B2" t="s">
        <v>70</v>
      </c>
      <c r="C2" s="13">
        <v>1.6093440000000001</v>
      </c>
      <c r="D2">
        <v>253</v>
      </c>
      <c r="E2">
        <v>0.72199999999999998</v>
      </c>
      <c r="F2">
        <v>0.75129999999999997</v>
      </c>
      <c r="G2">
        <v>0.7792</v>
      </c>
      <c r="H2">
        <v>0.80569999999999997</v>
      </c>
      <c r="I2">
        <v>0.83079999999999998</v>
      </c>
      <c r="J2">
        <v>0.85450000000000004</v>
      </c>
      <c r="K2">
        <v>0.87680000000000002</v>
      </c>
      <c r="L2">
        <v>0.89770000000000005</v>
      </c>
      <c r="M2">
        <v>0.91720000000000002</v>
      </c>
      <c r="N2">
        <v>0.93530000000000002</v>
      </c>
      <c r="O2">
        <v>0.95199999999999996</v>
      </c>
      <c r="P2">
        <v>0.96799999999999997</v>
      </c>
      <c r="Q2">
        <v>0.98399999999999999</v>
      </c>
      <c r="R2">
        <v>0.996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0.99980000000000002</v>
      </c>
      <c r="AF2">
        <v>0.999</v>
      </c>
      <c r="AG2">
        <v>0.99770000000000003</v>
      </c>
      <c r="AH2">
        <v>0.99590000000000001</v>
      </c>
      <c r="AI2">
        <v>0.99350000000000005</v>
      </c>
      <c r="AJ2">
        <v>0.99060000000000004</v>
      </c>
      <c r="AK2">
        <v>0.98709999999999998</v>
      </c>
      <c r="AL2">
        <v>0.98309999999999997</v>
      </c>
      <c r="AM2">
        <v>0.97850000000000004</v>
      </c>
      <c r="AN2">
        <v>0.97340000000000004</v>
      </c>
      <c r="AO2">
        <v>0.96779999999999999</v>
      </c>
      <c r="AP2">
        <v>0.96160000000000001</v>
      </c>
      <c r="AQ2">
        <v>0.95489999999999997</v>
      </c>
      <c r="AR2">
        <v>0.9476</v>
      </c>
      <c r="AS2">
        <v>0.93979999999999997</v>
      </c>
      <c r="AT2">
        <v>0.93140000000000001</v>
      </c>
      <c r="AU2">
        <v>0.92249999999999999</v>
      </c>
      <c r="AV2">
        <v>0.91310000000000002</v>
      </c>
      <c r="AW2">
        <v>0.90339999999999998</v>
      </c>
      <c r="AX2">
        <v>0.89370000000000005</v>
      </c>
      <c r="AY2">
        <v>0.88400000000000001</v>
      </c>
      <c r="AZ2">
        <v>0.87429999999999997</v>
      </c>
      <c r="BA2">
        <v>0.86450000000000005</v>
      </c>
      <c r="BB2">
        <v>0.8548</v>
      </c>
      <c r="BC2">
        <v>0.84509999999999996</v>
      </c>
      <c r="BD2">
        <v>0.83540000000000003</v>
      </c>
      <c r="BE2">
        <v>0.82569999999999999</v>
      </c>
      <c r="BF2">
        <v>0.81599999999999995</v>
      </c>
      <c r="BG2">
        <v>0.80630000000000002</v>
      </c>
      <c r="BH2">
        <v>0.79659999999999997</v>
      </c>
      <c r="BI2">
        <v>0.78690000000000004</v>
      </c>
      <c r="BJ2">
        <v>0.7772</v>
      </c>
      <c r="BK2">
        <v>0.76739999999999997</v>
      </c>
      <c r="BL2">
        <v>0.75770000000000004</v>
      </c>
      <c r="BM2">
        <v>0.748</v>
      </c>
      <c r="BN2">
        <v>0.73829999999999996</v>
      </c>
      <c r="BO2">
        <v>0.72860000000000003</v>
      </c>
      <c r="BP2">
        <v>0.71889999999999998</v>
      </c>
      <c r="BQ2">
        <v>0.70920000000000005</v>
      </c>
      <c r="BR2">
        <v>0.69950000000000001</v>
      </c>
      <c r="BS2">
        <v>0.68979999999999997</v>
      </c>
      <c r="BT2">
        <v>0.68010000000000004</v>
      </c>
      <c r="BU2">
        <v>0.67030000000000001</v>
      </c>
      <c r="BV2">
        <v>0.66059999999999997</v>
      </c>
      <c r="BW2">
        <v>0.65090000000000003</v>
      </c>
      <c r="BX2">
        <v>0.64119999999999999</v>
      </c>
      <c r="BY2">
        <v>0.63149999999999995</v>
      </c>
      <c r="BZ2">
        <v>0.62180000000000002</v>
      </c>
      <c r="CA2">
        <v>0.61199999999999999</v>
      </c>
      <c r="CB2">
        <v>0.60129999999999995</v>
      </c>
      <c r="CC2">
        <v>0.5897</v>
      </c>
      <c r="CD2">
        <v>0.57720000000000005</v>
      </c>
      <c r="CE2">
        <v>0.56369999999999998</v>
      </c>
      <c r="CF2">
        <v>0.54930000000000001</v>
      </c>
      <c r="CG2">
        <v>0.53400000000000003</v>
      </c>
      <c r="CH2">
        <v>0.51770000000000005</v>
      </c>
      <c r="CI2">
        <v>0.50039999999999996</v>
      </c>
      <c r="CJ2">
        <v>0.48230000000000001</v>
      </c>
      <c r="CK2">
        <v>0.4632</v>
      </c>
      <c r="CL2">
        <v>0.44309999999999999</v>
      </c>
      <c r="CM2">
        <v>0.42209999999999998</v>
      </c>
      <c r="CN2">
        <v>0.4002</v>
      </c>
      <c r="CO2">
        <v>0.37730000000000002</v>
      </c>
      <c r="CP2">
        <v>0.35349999999999998</v>
      </c>
      <c r="CQ2">
        <v>0.32879999999999998</v>
      </c>
      <c r="CR2">
        <v>0.30309999999999998</v>
      </c>
      <c r="CS2">
        <v>0.27639999999999998</v>
      </c>
      <c r="CT2">
        <v>0.24890000000000001</v>
      </c>
      <c r="CU2">
        <v>0.22040000000000001</v>
      </c>
      <c r="CV2">
        <v>0.19089999999999999</v>
      </c>
    </row>
    <row r="3" spans="1:100" x14ac:dyDescent="0.2">
      <c r="A3" t="s">
        <v>50</v>
      </c>
      <c r="B3" t="s">
        <v>29</v>
      </c>
      <c r="C3" s="13">
        <v>5</v>
      </c>
      <c r="D3">
        <v>884</v>
      </c>
      <c r="E3">
        <v>0.72199999999999998</v>
      </c>
      <c r="F3">
        <v>0.75129999999999997</v>
      </c>
      <c r="G3">
        <v>0.7792</v>
      </c>
      <c r="H3">
        <v>0.80569999999999997</v>
      </c>
      <c r="I3">
        <v>0.83079999999999998</v>
      </c>
      <c r="J3">
        <v>0.85450000000000004</v>
      </c>
      <c r="K3">
        <v>0.87680000000000002</v>
      </c>
      <c r="L3">
        <v>0.89770000000000005</v>
      </c>
      <c r="M3">
        <v>0.91720000000000002</v>
      </c>
      <c r="N3">
        <v>0.93530000000000002</v>
      </c>
      <c r="O3">
        <v>0.95199999999999996</v>
      </c>
      <c r="P3">
        <v>0.96799999999999997</v>
      </c>
      <c r="Q3">
        <v>0.98399999999999999</v>
      </c>
      <c r="R3">
        <v>0.996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0.99980000000000002</v>
      </c>
      <c r="AF3">
        <v>0.999</v>
      </c>
      <c r="AG3">
        <v>0.99770000000000003</v>
      </c>
      <c r="AH3">
        <v>0.99590000000000001</v>
      </c>
      <c r="AI3">
        <v>0.99350000000000005</v>
      </c>
      <c r="AJ3">
        <v>0.99060000000000004</v>
      </c>
      <c r="AK3">
        <v>0.98709999999999998</v>
      </c>
      <c r="AL3">
        <v>0.98309999999999997</v>
      </c>
      <c r="AM3">
        <v>0.97850000000000004</v>
      </c>
      <c r="AN3">
        <v>0.97340000000000004</v>
      </c>
      <c r="AO3">
        <v>0.96779999999999999</v>
      </c>
      <c r="AP3">
        <v>0.96160000000000001</v>
      </c>
      <c r="AQ3">
        <v>0.95489999999999997</v>
      </c>
      <c r="AR3">
        <v>0.9476</v>
      </c>
      <c r="AS3">
        <v>0.93979999999999997</v>
      </c>
      <c r="AT3">
        <v>0.93140000000000001</v>
      </c>
      <c r="AU3">
        <v>0.92249999999999999</v>
      </c>
      <c r="AV3">
        <v>0.91310000000000002</v>
      </c>
      <c r="AW3">
        <v>0.90339999999999998</v>
      </c>
      <c r="AX3">
        <v>0.89370000000000005</v>
      </c>
      <c r="AY3">
        <v>0.88400000000000001</v>
      </c>
      <c r="AZ3">
        <v>0.87429999999999997</v>
      </c>
      <c r="BA3">
        <v>0.86450000000000005</v>
      </c>
      <c r="BB3">
        <v>0.8548</v>
      </c>
      <c r="BC3">
        <v>0.84509999999999996</v>
      </c>
      <c r="BD3">
        <v>0.83540000000000003</v>
      </c>
      <c r="BE3">
        <v>0.82569999999999999</v>
      </c>
      <c r="BF3">
        <v>0.81599999999999995</v>
      </c>
      <c r="BG3">
        <v>0.80630000000000002</v>
      </c>
      <c r="BH3">
        <v>0.79659999999999997</v>
      </c>
      <c r="BI3">
        <v>0.78690000000000004</v>
      </c>
      <c r="BJ3">
        <v>0.7772</v>
      </c>
      <c r="BK3">
        <v>0.76739999999999997</v>
      </c>
      <c r="BL3">
        <v>0.75770000000000004</v>
      </c>
      <c r="BM3">
        <v>0.748</v>
      </c>
      <c r="BN3">
        <v>0.73829999999999996</v>
      </c>
      <c r="BO3">
        <v>0.72860000000000003</v>
      </c>
      <c r="BP3">
        <v>0.71889999999999998</v>
      </c>
      <c r="BQ3">
        <v>0.70920000000000005</v>
      </c>
      <c r="BR3">
        <v>0.69950000000000001</v>
      </c>
      <c r="BS3">
        <v>0.68979999999999997</v>
      </c>
      <c r="BT3">
        <v>0.68010000000000004</v>
      </c>
      <c r="BU3">
        <v>0.67030000000000001</v>
      </c>
      <c r="BV3">
        <v>0.66059999999999997</v>
      </c>
      <c r="BW3">
        <v>0.65090000000000003</v>
      </c>
      <c r="BX3">
        <v>0.64119999999999999</v>
      </c>
      <c r="BY3">
        <v>0.63149999999999995</v>
      </c>
      <c r="BZ3">
        <v>0.62180000000000002</v>
      </c>
      <c r="CA3">
        <v>0.61199999999999999</v>
      </c>
      <c r="CB3">
        <v>0.60129999999999995</v>
      </c>
      <c r="CC3">
        <v>0.5897</v>
      </c>
      <c r="CD3">
        <v>0.57720000000000005</v>
      </c>
      <c r="CE3">
        <v>0.56369999999999998</v>
      </c>
      <c r="CF3">
        <v>0.54930000000000001</v>
      </c>
      <c r="CG3">
        <v>0.53400000000000003</v>
      </c>
      <c r="CH3">
        <v>0.51770000000000005</v>
      </c>
      <c r="CI3">
        <v>0.50039999999999996</v>
      </c>
      <c r="CJ3">
        <v>0.48230000000000001</v>
      </c>
      <c r="CK3">
        <v>0.4632</v>
      </c>
      <c r="CL3">
        <v>0.44309999999999999</v>
      </c>
      <c r="CM3">
        <v>0.42209999999999998</v>
      </c>
      <c r="CN3">
        <v>0.4002</v>
      </c>
      <c r="CO3">
        <v>0.37730000000000002</v>
      </c>
      <c r="CP3">
        <v>0.35349999999999998</v>
      </c>
      <c r="CQ3">
        <v>0.32879999999999998</v>
      </c>
      <c r="CR3">
        <v>0.30309999999999998</v>
      </c>
      <c r="CS3">
        <v>0.27639999999999998</v>
      </c>
      <c r="CT3">
        <v>0.24890000000000001</v>
      </c>
      <c r="CU3">
        <v>0.22040000000000001</v>
      </c>
      <c r="CV3">
        <v>0.19089999999999999</v>
      </c>
    </row>
    <row r="4" spans="1:100" x14ac:dyDescent="0.2">
      <c r="A4" t="s">
        <v>51</v>
      </c>
      <c r="B4" t="s">
        <v>30</v>
      </c>
      <c r="C4" s="13">
        <v>6</v>
      </c>
      <c r="D4">
        <v>1062</v>
      </c>
      <c r="E4">
        <v>0.70699999999999996</v>
      </c>
      <c r="F4">
        <v>0.73919999999999997</v>
      </c>
      <c r="G4">
        <v>0.76959999999999995</v>
      </c>
      <c r="H4">
        <v>0.7984</v>
      </c>
      <c r="I4">
        <v>0.82540000000000002</v>
      </c>
      <c r="J4">
        <v>0.8508</v>
      </c>
      <c r="K4">
        <v>0.87439999999999996</v>
      </c>
      <c r="L4">
        <v>0.89639999999999997</v>
      </c>
      <c r="M4">
        <v>0.91659999999999997</v>
      </c>
      <c r="N4">
        <v>0.93520000000000003</v>
      </c>
      <c r="O4">
        <v>0.95199999999999996</v>
      </c>
      <c r="P4">
        <v>0.96799999999999997</v>
      </c>
      <c r="Q4">
        <v>0.98399999999999999</v>
      </c>
      <c r="R4">
        <v>0.996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0.99990000000000001</v>
      </c>
      <c r="AE4">
        <v>0.99919999999999998</v>
      </c>
      <c r="AF4">
        <v>0.99809999999999999</v>
      </c>
      <c r="AG4">
        <v>0.99650000000000005</v>
      </c>
      <c r="AH4">
        <v>0.99429999999999996</v>
      </c>
      <c r="AI4">
        <v>0.99160000000000004</v>
      </c>
      <c r="AJ4">
        <v>0.98839999999999995</v>
      </c>
      <c r="AK4">
        <v>0.98470000000000002</v>
      </c>
      <c r="AL4">
        <v>0.98050000000000004</v>
      </c>
      <c r="AM4">
        <v>0.9758</v>
      </c>
      <c r="AN4">
        <v>0.97060000000000002</v>
      </c>
      <c r="AO4">
        <v>0.96479999999999999</v>
      </c>
      <c r="AP4">
        <v>0.95860000000000001</v>
      </c>
      <c r="AQ4">
        <v>0.95179999999999998</v>
      </c>
      <c r="AR4">
        <v>0.94450000000000001</v>
      </c>
      <c r="AS4">
        <v>0.93669999999999998</v>
      </c>
      <c r="AT4">
        <v>0.9284</v>
      </c>
      <c r="AU4">
        <v>0.91949999999999998</v>
      </c>
      <c r="AV4">
        <v>0.91020000000000001</v>
      </c>
      <c r="AW4">
        <v>0.90049999999999997</v>
      </c>
      <c r="AX4">
        <v>0.89070000000000005</v>
      </c>
      <c r="AY4">
        <v>0.88090000000000002</v>
      </c>
      <c r="AZ4">
        <v>0.87119999999999997</v>
      </c>
      <c r="BA4">
        <v>0.86140000000000005</v>
      </c>
      <c r="BB4">
        <v>0.85160000000000002</v>
      </c>
      <c r="BC4">
        <v>0.84179999999999999</v>
      </c>
      <c r="BD4">
        <v>0.83209999999999995</v>
      </c>
      <c r="BE4">
        <v>0.82230000000000003</v>
      </c>
      <c r="BF4">
        <v>0.8125</v>
      </c>
      <c r="BG4">
        <v>0.80279999999999996</v>
      </c>
      <c r="BH4">
        <v>0.79300000000000004</v>
      </c>
      <c r="BI4">
        <v>0.78320000000000001</v>
      </c>
      <c r="BJ4">
        <v>0.77349999999999997</v>
      </c>
      <c r="BK4">
        <v>0.76370000000000005</v>
      </c>
      <c r="BL4">
        <v>0.75390000000000001</v>
      </c>
      <c r="BM4">
        <v>0.74409999999999998</v>
      </c>
      <c r="BN4">
        <v>0.73440000000000005</v>
      </c>
      <c r="BO4">
        <v>0.72460000000000002</v>
      </c>
      <c r="BP4">
        <v>0.71479999999999999</v>
      </c>
      <c r="BQ4">
        <v>0.70509999999999995</v>
      </c>
      <c r="BR4">
        <v>0.69530000000000003</v>
      </c>
      <c r="BS4">
        <v>0.6855</v>
      </c>
      <c r="BT4">
        <v>0.67569999999999997</v>
      </c>
      <c r="BU4">
        <v>0.66600000000000004</v>
      </c>
      <c r="BV4">
        <v>0.65620000000000001</v>
      </c>
      <c r="BW4">
        <v>0.64639999999999997</v>
      </c>
      <c r="BX4">
        <v>0.63670000000000004</v>
      </c>
      <c r="BY4">
        <v>0.62690000000000001</v>
      </c>
      <c r="BZ4">
        <v>0.61699999999999999</v>
      </c>
      <c r="CA4">
        <v>0.60650000000000004</v>
      </c>
      <c r="CB4">
        <v>0.59499999999999997</v>
      </c>
      <c r="CC4">
        <v>0.58260000000000001</v>
      </c>
      <c r="CD4">
        <v>0.56930000000000003</v>
      </c>
      <c r="CE4">
        <v>0.55520000000000003</v>
      </c>
      <c r="CF4">
        <v>0.54010000000000002</v>
      </c>
      <c r="CG4">
        <v>0.5242</v>
      </c>
      <c r="CH4">
        <v>0.50729999999999997</v>
      </c>
      <c r="CI4">
        <v>0.48959999999999998</v>
      </c>
      <c r="CJ4">
        <v>0.47099999999999997</v>
      </c>
      <c r="CK4">
        <v>0.45140000000000002</v>
      </c>
      <c r="CL4">
        <v>0.43099999999999999</v>
      </c>
      <c r="CM4">
        <v>0.40970000000000001</v>
      </c>
      <c r="CN4">
        <v>0.38750000000000001</v>
      </c>
      <c r="CO4">
        <v>0.3644</v>
      </c>
      <c r="CP4">
        <v>0.34050000000000002</v>
      </c>
      <c r="CQ4">
        <v>0.31559999999999999</v>
      </c>
      <c r="CR4">
        <v>0.2898</v>
      </c>
      <c r="CS4">
        <v>0.2631</v>
      </c>
      <c r="CT4">
        <v>0.2356</v>
      </c>
      <c r="CU4">
        <v>0.2072</v>
      </c>
      <c r="CV4">
        <v>0.17780000000000001</v>
      </c>
    </row>
    <row r="5" spans="1:100" x14ac:dyDescent="0.2">
      <c r="A5" t="s">
        <v>52</v>
      </c>
      <c r="B5" t="s">
        <v>28</v>
      </c>
      <c r="C5" s="13">
        <v>6.4373760000000004</v>
      </c>
      <c r="D5">
        <v>1140</v>
      </c>
      <c r="E5">
        <v>0.70099999999999996</v>
      </c>
      <c r="F5">
        <v>0.73429999999999995</v>
      </c>
      <c r="G5">
        <v>0.76580000000000004</v>
      </c>
      <c r="H5">
        <v>0.7954</v>
      </c>
      <c r="I5">
        <v>0.82320000000000004</v>
      </c>
      <c r="J5">
        <v>0.84930000000000005</v>
      </c>
      <c r="K5">
        <v>0.87339999999999995</v>
      </c>
      <c r="L5">
        <v>0.89580000000000004</v>
      </c>
      <c r="M5">
        <v>0.91639999999999999</v>
      </c>
      <c r="N5">
        <v>0.93510000000000004</v>
      </c>
      <c r="O5">
        <v>0.95199999999999996</v>
      </c>
      <c r="P5">
        <v>0.96799999999999997</v>
      </c>
      <c r="Q5">
        <v>0.98399999999999999</v>
      </c>
      <c r="R5">
        <v>0.996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0.99970000000000003</v>
      </c>
      <c r="AE5">
        <v>0.999</v>
      </c>
      <c r="AF5">
        <v>0.99770000000000003</v>
      </c>
      <c r="AG5">
        <v>0.99590000000000001</v>
      </c>
      <c r="AH5">
        <v>0.99360000000000004</v>
      </c>
      <c r="AI5">
        <v>0.9909</v>
      </c>
      <c r="AJ5">
        <v>0.98760000000000003</v>
      </c>
      <c r="AK5">
        <v>0.98380000000000001</v>
      </c>
      <c r="AL5">
        <v>0.97950000000000004</v>
      </c>
      <c r="AM5">
        <v>0.97470000000000001</v>
      </c>
      <c r="AN5">
        <v>0.96950000000000003</v>
      </c>
      <c r="AO5">
        <v>0.9637</v>
      </c>
      <c r="AP5">
        <v>0.95740000000000003</v>
      </c>
      <c r="AQ5">
        <v>0.9506</v>
      </c>
      <c r="AR5">
        <v>0.94330000000000003</v>
      </c>
      <c r="AS5">
        <v>0.9355</v>
      </c>
      <c r="AT5">
        <v>0.92720000000000002</v>
      </c>
      <c r="AU5">
        <v>0.91839999999999999</v>
      </c>
      <c r="AV5">
        <v>0.90910000000000002</v>
      </c>
      <c r="AW5">
        <v>0.89929999999999999</v>
      </c>
      <c r="AX5">
        <v>0.88949999999999996</v>
      </c>
      <c r="AY5">
        <v>0.87980000000000003</v>
      </c>
      <c r="AZ5">
        <v>0.87</v>
      </c>
      <c r="BA5">
        <v>0.86019999999999996</v>
      </c>
      <c r="BB5">
        <v>0.85040000000000004</v>
      </c>
      <c r="BC5">
        <v>0.84060000000000001</v>
      </c>
      <c r="BD5">
        <v>0.83079999999999998</v>
      </c>
      <c r="BE5">
        <v>0.82099999999999995</v>
      </c>
      <c r="BF5">
        <v>0.81120000000000003</v>
      </c>
      <c r="BG5">
        <v>0.8014</v>
      </c>
      <c r="BH5">
        <v>0.79159999999999997</v>
      </c>
      <c r="BI5">
        <v>0.78180000000000005</v>
      </c>
      <c r="BJ5">
        <v>0.77200000000000002</v>
      </c>
      <c r="BK5">
        <v>0.76219999999999999</v>
      </c>
      <c r="BL5">
        <v>0.75239999999999996</v>
      </c>
      <c r="BM5">
        <v>0.74260000000000004</v>
      </c>
      <c r="BN5">
        <v>0.73280000000000001</v>
      </c>
      <c r="BO5">
        <v>0.72299999999999998</v>
      </c>
      <c r="BP5">
        <v>0.71330000000000005</v>
      </c>
      <c r="BQ5">
        <v>0.70350000000000001</v>
      </c>
      <c r="BR5">
        <v>0.69369999999999998</v>
      </c>
      <c r="BS5">
        <v>0.68389999999999995</v>
      </c>
      <c r="BT5">
        <v>0.67410000000000003</v>
      </c>
      <c r="BU5">
        <v>0.6643</v>
      </c>
      <c r="BV5">
        <v>0.65449999999999997</v>
      </c>
      <c r="BW5">
        <v>0.64470000000000005</v>
      </c>
      <c r="BX5">
        <v>0.63490000000000002</v>
      </c>
      <c r="BY5">
        <v>0.62509999999999999</v>
      </c>
      <c r="BZ5">
        <v>0.61509999999999998</v>
      </c>
      <c r="CA5">
        <v>0.60409999999999997</v>
      </c>
      <c r="CB5">
        <v>0.59240000000000004</v>
      </c>
      <c r="CC5">
        <v>0.57969999999999999</v>
      </c>
      <c r="CD5">
        <v>0.56620000000000004</v>
      </c>
      <c r="CE5">
        <v>0.55179999999999996</v>
      </c>
      <c r="CF5">
        <v>0.53649999999999998</v>
      </c>
      <c r="CG5">
        <v>0.52029999999999998</v>
      </c>
      <c r="CH5">
        <v>0.50329999999999997</v>
      </c>
      <c r="CI5">
        <v>0.4854</v>
      </c>
      <c r="CJ5">
        <v>0.46660000000000001</v>
      </c>
      <c r="CK5">
        <v>0.44700000000000001</v>
      </c>
      <c r="CL5">
        <v>0.4264</v>
      </c>
      <c r="CM5">
        <v>0.40500000000000003</v>
      </c>
      <c r="CN5">
        <v>0.38279999999999997</v>
      </c>
      <c r="CO5">
        <v>0.35959999999999998</v>
      </c>
      <c r="CP5">
        <v>0.33560000000000001</v>
      </c>
      <c r="CQ5">
        <v>0.31069999999999998</v>
      </c>
      <c r="CR5">
        <v>0.28489999999999999</v>
      </c>
      <c r="CS5">
        <v>0.25829999999999997</v>
      </c>
      <c r="CT5">
        <v>0.23069999999999999</v>
      </c>
      <c r="CU5">
        <v>0.20230000000000001</v>
      </c>
      <c r="CV5">
        <v>0.1731</v>
      </c>
    </row>
    <row r="6" spans="1:100" x14ac:dyDescent="0.2">
      <c r="A6" t="s">
        <v>53</v>
      </c>
      <c r="B6" t="s">
        <v>31</v>
      </c>
      <c r="C6" s="13">
        <v>8</v>
      </c>
      <c r="D6">
        <v>1421.9999999999998</v>
      </c>
      <c r="E6">
        <v>0.68500000000000005</v>
      </c>
      <c r="F6">
        <v>0.7198</v>
      </c>
      <c r="G6">
        <v>0.75260000000000005</v>
      </c>
      <c r="H6">
        <v>0.78349999999999997</v>
      </c>
      <c r="I6">
        <v>0.81240000000000001</v>
      </c>
      <c r="J6">
        <v>0.83930000000000005</v>
      </c>
      <c r="K6">
        <v>0.86419999999999997</v>
      </c>
      <c r="L6">
        <v>0.8871</v>
      </c>
      <c r="M6">
        <v>0.90800000000000003</v>
      </c>
      <c r="N6">
        <v>0.92700000000000005</v>
      </c>
      <c r="O6">
        <v>0.94399999999999995</v>
      </c>
      <c r="P6">
        <v>0.96</v>
      </c>
      <c r="Q6">
        <v>0.97599999999999998</v>
      </c>
      <c r="R6">
        <v>0.98929999999999996</v>
      </c>
      <c r="S6">
        <v>0.99729999999999996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0.99980000000000002</v>
      </c>
      <c r="AD6">
        <v>0.99909999999999999</v>
      </c>
      <c r="AE6">
        <v>0.99790000000000001</v>
      </c>
      <c r="AF6">
        <v>0.99619999999999997</v>
      </c>
      <c r="AG6">
        <v>0.99409999999999998</v>
      </c>
      <c r="AH6">
        <v>0.99150000000000005</v>
      </c>
      <c r="AI6">
        <v>0.98839999999999995</v>
      </c>
      <c r="AJ6">
        <v>0.9849</v>
      </c>
      <c r="AK6">
        <v>0.98089999999999999</v>
      </c>
      <c r="AL6">
        <v>0.97640000000000005</v>
      </c>
      <c r="AM6">
        <v>0.97140000000000004</v>
      </c>
      <c r="AN6">
        <v>0.96599999999999997</v>
      </c>
      <c r="AO6">
        <v>0.96009999999999995</v>
      </c>
      <c r="AP6">
        <v>0.95369999999999999</v>
      </c>
      <c r="AQ6">
        <v>0.94679999999999997</v>
      </c>
      <c r="AR6">
        <v>0.9395</v>
      </c>
      <c r="AS6">
        <v>0.93169999999999997</v>
      </c>
      <c r="AT6">
        <v>0.9234</v>
      </c>
      <c r="AU6">
        <v>0.91469999999999996</v>
      </c>
      <c r="AV6">
        <v>0.90549999999999997</v>
      </c>
      <c r="AW6">
        <v>0.89580000000000004</v>
      </c>
      <c r="AX6">
        <v>0.88590000000000002</v>
      </c>
      <c r="AY6">
        <v>0.87609999999999999</v>
      </c>
      <c r="AZ6">
        <v>0.86619999999999997</v>
      </c>
      <c r="BA6">
        <v>0.85629999999999995</v>
      </c>
      <c r="BB6">
        <v>0.84650000000000003</v>
      </c>
      <c r="BC6">
        <v>0.83660000000000001</v>
      </c>
      <c r="BD6">
        <v>0.82679999999999998</v>
      </c>
      <c r="BE6">
        <v>0.81689999999999996</v>
      </c>
      <c r="BF6">
        <v>0.80700000000000005</v>
      </c>
      <c r="BG6">
        <v>0.79720000000000002</v>
      </c>
      <c r="BH6">
        <v>0.7873</v>
      </c>
      <c r="BI6">
        <v>0.77739999999999998</v>
      </c>
      <c r="BJ6">
        <v>0.76759999999999995</v>
      </c>
      <c r="BK6">
        <v>0.75770000000000004</v>
      </c>
      <c r="BL6">
        <v>0.74780000000000002</v>
      </c>
      <c r="BM6">
        <v>0.73799999999999999</v>
      </c>
      <c r="BN6">
        <v>0.72809999999999997</v>
      </c>
      <c r="BO6">
        <v>0.71819999999999995</v>
      </c>
      <c r="BP6">
        <v>0.70840000000000003</v>
      </c>
      <c r="BQ6">
        <v>0.69850000000000001</v>
      </c>
      <c r="BR6">
        <v>0.68859999999999999</v>
      </c>
      <c r="BS6">
        <v>0.67879999999999996</v>
      </c>
      <c r="BT6">
        <v>0.66890000000000005</v>
      </c>
      <c r="BU6">
        <v>0.65900000000000003</v>
      </c>
      <c r="BV6">
        <v>0.6492</v>
      </c>
      <c r="BW6">
        <v>0.63929999999999998</v>
      </c>
      <c r="BX6">
        <v>0.62939999999999996</v>
      </c>
      <c r="BY6">
        <v>0.61929999999999996</v>
      </c>
      <c r="BZ6">
        <v>0.60829999999999995</v>
      </c>
      <c r="CA6">
        <v>0.59650000000000003</v>
      </c>
      <c r="CB6">
        <v>0.58379999999999999</v>
      </c>
      <c r="CC6">
        <v>0.57040000000000002</v>
      </c>
      <c r="CD6">
        <v>0.55610000000000004</v>
      </c>
      <c r="CE6">
        <v>0.54100000000000004</v>
      </c>
      <c r="CF6">
        <v>0.5252</v>
      </c>
      <c r="CG6">
        <v>0.50839999999999996</v>
      </c>
      <c r="CH6">
        <v>0.4909</v>
      </c>
      <c r="CI6">
        <v>0.47260000000000002</v>
      </c>
      <c r="CJ6">
        <v>0.45340000000000003</v>
      </c>
      <c r="CK6">
        <v>0.43340000000000001</v>
      </c>
      <c r="CL6">
        <v>0.41260000000000002</v>
      </c>
      <c r="CM6">
        <v>0.39100000000000001</v>
      </c>
      <c r="CN6">
        <v>0.36849999999999999</v>
      </c>
      <c r="CO6">
        <v>0.3453</v>
      </c>
      <c r="CP6">
        <v>0.32119999999999999</v>
      </c>
      <c r="CQ6">
        <v>0.29630000000000001</v>
      </c>
      <c r="CR6">
        <v>0.27060000000000001</v>
      </c>
      <c r="CS6">
        <v>0.24410000000000001</v>
      </c>
      <c r="CT6">
        <v>0.2167</v>
      </c>
      <c r="CU6">
        <v>0.1885</v>
      </c>
      <c r="CV6">
        <v>0.15959999999999999</v>
      </c>
    </row>
    <row r="7" spans="1:100" x14ac:dyDescent="0.2">
      <c r="A7" t="s">
        <v>54</v>
      </c>
      <c r="B7" t="s">
        <v>32</v>
      </c>
      <c r="C7" s="13">
        <v>8.0467200000000005</v>
      </c>
      <c r="D7">
        <v>1429.9999999999998</v>
      </c>
      <c r="E7">
        <v>0.68500000000000005</v>
      </c>
      <c r="F7">
        <v>0.7198</v>
      </c>
      <c r="G7">
        <v>0.75260000000000005</v>
      </c>
      <c r="H7">
        <v>0.78349999999999997</v>
      </c>
      <c r="I7">
        <v>0.81240000000000001</v>
      </c>
      <c r="J7">
        <v>0.83930000000000005</v>
      </c>
      <c r="K7">
        <v>0.86419999999999997</v>
      </c>
      <c r="L7">
        <v>0.8871</v>
      </c>
      <c r="M7">
        <v>0.90800000000000003</v>
      </c>
      <c r="N7">
        <v>0.92700000000000005</v>
      </c>
      <c r="O7">
        <v>0.94399999999999995</v>
      </c>
      <c r="P7">
        <v>0.96</v>
      </c>
      <c r="Q7">
        <v>0.97599999999999998</v>
      </c>
      <c r="R7">
        <v>0.98929999999999996</v>
      </c>
      <c r="S7">
        <v>0.99729999999999996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0.99980000000000002</v>
      </c>
      <c r="AD7">
        <v>0.999</v>
      </c>
      <c r="AE7">
        <v>0.99780000000000002</v>
      </c>
      <c r="AF7">
        <v>0.99619999999999997</v>
      </c>
      <c r="AG7">
        <v>0.99399999999999999</v>
      </c>
      <c r="AH7">
        <v>0.99139999999999995</v>
      </c>
      <c r="AI7">
        <v>0.98839999999999995</v>
      </c>
      <c r="AJ7">
        <v>0.98480000000000001</v>
      </c>
      <c r="AK7">
        <v>0.98080000000000001</v>
      </c>
      <c r="AL7">
        <v>0.97629999999999995</v>
      </c>
      <c r="AM7">
        <v>0.97130000000000005</v>
      </c>
      <c r="AN7">
        <v>0.96589999999999998</v>
      </c>
      <c r="AO7">
        <v>0.96</v>
      </c>
      <c r="AP7">
        <v>0.9536</v>
      </c>
      <c r="AQ7">
        <v>0.94669999999999999</v>
      </c>
      <c r="AR7">
        <v>0.93940000000000001</v>
      </c>
      <c r="AS7">
        <v>0.93159999999999998</v>
      </c>
      <c r="AT7">
        <v>0.92330000000000001</v>
      </c>
      <c r="AU7">
        <v>0.91459999999999997</v>
      </c>
      <c r="AV7">
        <v>0.90539999999999998</v>
      </c>
      <c r="AW7">
        <v>0.89570000000000005</v>
      </c>
      <c r="AX7">
        <v>0.88580000000000003</v>
      </c>
      <c r="AY7">
        <v>0.876</v>
      </c>
      <c r="AZ7">
        <v>0.86609999999999998</v>
      </c>
      <c r="BA7">
        <v>0.85619999999999996</v>
      </c>
      <c r="BB7">
        <v>0.84640000000000004</v>
      </c>
      <c r="BC7">
        <v>0.83650000000000002</v>
      </c>
      <c r="BD7">
        <v>0.8266</v>
      </c>
      <c r="BE7">
        <v>0.81679999999999997</v>
      </c>
      <c r="BF7">
        <v>0.80689999999999995</v>
      </c>
      <c r="BG7">
        <v>0.79700000000000004</v>
      </c>
      <c r="BH7">
        <v>0.78720000000000001</v>
      </c>
      <c r="BI7">
        <v>0.77729999999999999</v>
      </c>
      <c r="BJ7">
        <v>0.76739999999999997</v>
      </c>
      <c r="BK7">
        <v>0.75760000000000005</v>
      </c>
      <c r="BL7">
        <v>0.74770000000000003</v>
      </c>
      <c r="BM7">
        <v>0.73780000000000001</v>
      </c>
      <c r="BN7">
        <v>0.72799999999999998</v>
      </c>
      <c r="BO7">
        <v>0.71809999999999996</v>
      </c>
      <c r="BP7">
        <v>0.70820000000000005</v>
      </c>
      <c r="BQ7">
        <v>0.69840000000000002</v>
      </c>
      <c r="BR7">
        <v>0.6885</v>
      </c>
      <c r="BS7">
        <v>0.67859999999999998</v>
      </c>
      <c r="BT7">
        <v>0.66879999999999995</v>
      </c>
      <c r="BU7">
        <v>0.65890000000000004</v>
      </c>
      <c r="BV7">
        <v>0.64900000000000002</v>
      </c>
      <c r="BW7">
        <v>0.63919999999999999</v>
      </c>
      <c r="BX7">
        <v>0.62929999999999997</v>
      </c>
      <c r="BY7">
        <v>0.61909999999999998</v>
      </c>
      <c r="BZ7">
        <v>0.60809999999999997</v>
      </c>
      <c r="CA7">
        <v>0.59619999999999995</v>
      </c>
      <c r="CB7">
        <v>0.58360000000000001</v>
      </c>
      <c r="CC7">
        <v>0.57010000000000005</v>
      </c>
      <c r="CD7">
        <v>0.55589999999999995</v>
      </c>
      <c r="CE7">
        <v>0.54079999999999995</v>
      </c>
      <c r="CF7">
        <v>0.52480000000000004</v>
      </c>
      <c r="CG7">
        <v>0.5081</v>
      </c>
      <c r="CH7">
        <v>0.49059999999999998</v>
      </c>
      <c r="CI7">
        <v>0.47220000000000001</v>
      </c>
      <c r="CJ7">
        <v>0.45300000000000001</v>
      </c>
      <c r="CK7">
        <v>0.433</v>
      </c>
      <c r="CL7">
        <v>0.41220000000000001</v>
      </c>
      <c r="CM7">
        <v>0.3906</v>
      </c>
      <c r="CN7">
        <v>0.36820000000000003</v>
      </c>
      <c r="CO7">
        <v>0.34489999999999998</v>
      </c>
      <c r="CP7">
        <v>0.32079999999999997</v>
      </c>
      <c r="CQ7">
        <v>0.2959</v>
      </c>
      <c r="CR7">
        <v>0.2702</v>
      </c>
      <c r="CS7">
        <v>0.2437</v>
      </c>
      <c r="CT7">
        <v>0.21640000000000001</v>
      </c>
      <c r="CU7">
        <v>0.18820000000000001</v>
      </c>
      <c r="CV7">
        <v>0.15920000000000001</v>
      </c>
    </row>
    <row r="8" spans="1:100" x14ac:dyDescent="0.2">
      <c r="A8" t="s">
        <v>55</v>
      </c>
      <c r="B8" t="s">
        <v>33</v>
      </c>
      <c r="C8" s="13">
        <v>10</v>
      </c>
      <c r="D8">
        <v>1783</v>
      </c>
      <c r="E8">
        <v>0.68500000000000005</v>
      </c>
      <c r="F8">
        <v>0.71830000000000005</v>
      </c>
      <c r="G8">
        <v>0.74980000000000002</v>
      </c>
      <c r="H8">
        <v>0.77939999999999998</v>
      </c>
      <c r="I8">
        <v>0.80720000000000003</v>
      </c>
      <c r="J8">
        <v>0.83330000000000004</v>
      </c>
      <c r="K8">
        <v>0.85740000000000005</v>
      </c>
      <c r="L8">
        <v>0.87980000000000003</v>
      </c>
      <c r="M8">
        <v>0.90039999999999998</v>
      </c>
      <c r="N8">
        <v>0.91910000000000003</v>
      </c>
      <c r="O8">
        <v>0.93600000000000005</v>
      </c>
      <c r="P8">
        <v>0.95199999999999996</v>
      </c>
      <c r="Q8">
        <v>0.96799999999999997</v>
      </c>
      <c r="R8">
        <v>0.98199999999999998</v>
      </c>
      <c r="S8">
        <v>0.99199999999999999</v>
      </c>
      <c r="T8">
        <v>0.998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0.99980000000000002</v>
      </c>
      <c r="AC8">
        <v>0.99909999999999999</v>
      </c>
      <c r="AD8">
        <v>0.998</v>
      </c>
      <c r="AE8">
        <v>0.99639999999999995</v>
      </c>
      <c r="AF8">
        <v>0.99439999999999995</v>
      </c>
      <c r="AG8">
        <v>0.99199999999999999</v>
      </c>
      <c r="AH8">
        <v>0.98909999999999998</v>
      </c>
      <c r="AI8">
        <v>0.98570000000000002</v>
      </c>
      <c r="AJ8">
        <v>0.9819</v>
      </c>
      <c r="AK8">
        <v>0.97770000000000001</v>
      </c>
      <c r="AL8">
        <v>0.97299999999999998</v>
      </c>
      <c r="AM8">
        <v>0.96789999999999998</v>
      </c>
      <c r="AN8">
        <v>0.96230000000000004</v>
      </c>
      <c r="AO8">
        <v>0.95630000000000004</v>
      </c>
      <c r="AP8">
        <v>0.94989999999999997</v>
      </c>
      <c r="AQ8">
        <v>0.94289999999999996</v>
      </c>
      <c r="AR8">
        <v>0.93559999999999999</v>
      </c>
      <c r="AS8">
        <v>0.92779999999999996</v>
      </c>
      <c r="AT8">
        <v>0.91949999999999998</v>
      </c>
      <c r="AU8">
        <v>0.91090000000000004</v>
      </c>
      <c r="AV8">
        <v>0.90169999999999995</v>
      </c>
      <c r="AW8">
        <v>0.8921</v>
      </c>
      <c r="AX8">
        <v>0.88219999999999998</v>
      </c>
      <c r="AY8">
        <v>0.87229999999999996</v>
      </c>
      <c r="AZ8">
        <v>0.86229999999999996</v>
      </c>
      <c r="BA8">
        <v>0.85240000000000005</v>
      </c>
      <c r="BB8">
        <v>0.84250000000000003</v>
      </c>
      <c r="BC8">
        <v>0.83250000000000002</v>
      </c>
      <c r="BD8">
        <v>0.8226</v>
      </c>
      <c r="BE8">
        <v>0.81259999999999999</v>
      </c>
      <c r="BF8">
        <v>0.80269999999999997</v>
      </c>
      <c r="BG8">
        <v>0.79279999999999995</v>
      </c>
      <c r="BH8">
        <v>0.78280000000000005</v>
      </c>
      <c r="BI8">
        <v>0.77290000000000003</v>
      </c>
      <c r="BJ8">
        <v>0.76290000000000002</v>
      </c>
      <c r="BK8">
        <v>0.753</v>
      </c>
      <c r="BL8">
        <v>0.74309999999999998</v>
      </c>
      <c r="BM8">
        <v>0.73309999999999997</v>
      </c>
      <c r="BN8">
        <v>0.72319999999999995</v>
      </c>
      <c r="BO8">
        <v>0.71319999999999995</v>
      </c>
      <c r="BP8">
        <v>0.70330000000000004</v>
      </c>
      <c r="BQ8">
        <v>0.69340000000000002</v>
      </c>
      <c r="BR8">
        <v>0.68340000000000001</v>
      </c>
      <c r="BS8">
        <v>0.67349999999999999</v>
      </c>
      <c r="BT8">
        <v>0.66349999999999998</v>
      </c>
      <c r="BU8">
        <v>0.65359999999999996</v>
      </c>
      <c r="BV8">
        <v>0.64370000000000005</v>
      </c>
      <c r="BW8">
        <v>0.63370000000000004</v>
      </c>
      <c r="BX8">
        <v>0.62339999999999995</v>
      </c>
      <c r="BY8">
        <v>0.61229999999999996</v>
      </c>
      <c r="BZ8">
        <v>0.60050000000000003</v>
      </c>
      <c r="CA8">
        <v>0.58789999999999998</v>
      </c>
      <c r="CB8">
        <v>0.57450000000000001</v>
      </c>
      <c r="CC8">
        <v>0.56040000000000001</v>
      </c>
      <c r="CD8">
        <v>0.54549999999999998</v>
      </c>
      <c r="CE8">
        <v>0.52990000000000004</v>
      </c>
      <c r="CF8">
        <v>0.51349999999999996</v>
      </c>
      <c r="CG8">
        <v>0.49630000000000002</v>
      </c>
      <c r="CH8">
        <v>0.47839999999999999</v>
      </c>
      <c r="CI8">
        <v>0.4597</v>
      </c>
      <c r="CJ8">
        <v>0.44030000000000002</v>
      </c>
      <c r="CK8">
        <v>0.42009999999999997</v>
      </c>
      <c r="CL8">
        <v>0.39910000000000001</v>
      </c>
      <c r="CM8">
        <v>0.37740000000000001</v>
      </c>
      <c r="CN8">
        <v>0.35489999999999999</v>
      </c>
      <c r="CO8">
        <v>0.33169999999999999</v>
      </c>
      <c r="CP8">
        <v>0.30769999999999997</v>
      </c>
      <c r="CQ8">
        <v>0.28289999999999998</v>
      </c>
      <c r="CR8">
        <v>0.25740000000000002</v>
      </c>
      <c r="CS8">
        <v>0.2311</v>
      </c>
      <c r="CT8">
        <v>0.2041</v>
      </c>
      <c r="CU8">
        <v>0.17630000000000001</v>
      </c>
      <c r="CV8">
        <v>0.1477</v>
      </c>
    </row>
    <row r="9" spans="1:100" x14ac:dyDescent="0.2">
      <c r="A9" t="s">
        <v>56</v>
      </c>
      <c r="B9" t="s">
        <v>34</v>
      </c>
      <c r="C9" s="13">
        <v>12</v>
      </c>
      <c r="D9">
        <v>2160</v>
      </c>
      <c r="E9">
        <v>0.68130000000000002</v>
      </c>
      <c r="F9">
        <v>0.71509999999999996</v>
      </c>
      <c r="G9">
        <v>0.74709999999999999</v>
      </c>
      <c r="H9">
        <v>0.7772</v>
      </c>
      <c r="I9">
        <v>0.80549999999999999</v>
      </c>
      <c r="J9">
        <v>0.83209999999999995</v>
      </c>
      <c r="K9">
        <v>0.85670000000000002</v>
      </c>
      <c r="L9">
        <v>0.87960000000000005</v>
      </c>
      <c r="M9">
        <v>0.90069999999999995</v>
      </c>
      <c r="N9">
        <v>0.91990000000000005</v>
      </c>
      <c r="O9">
        <v>0.93730000000000002</v>
      </c>
      <c r="P9">
        <v>0.95379999999999998</v>
      </c>
      <c r="Q9">
        <v>0.97030000000000005</v>
      </c>
      <c r="R9">
        <v>0.98450000000000004</v>
      </c>
      <c r="S9">
        <v>0.99409999999999998</v>
      </c>
      <c r="T9">
        <v>0.99919999999999998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0.99990000000000001</v>
      </c>
      <c r="AC9">
        <v>0.99950000000000006</v>
      </c>
      <c r="AD9">
        <v>0.99850000000000005</v>
      </c>
      <c r="AE9">
        <v>0.99709999999999999</v>
      </c>
      <c r="AF9">
        <v>0.99529999999999996</v>
      </c>
      <c r="AG9">
        <v>0.9929</v>
      </c>
      <c r="AH9">
        <v>0.99019999999999997</v>
      </c>
      <c r="AI9">
        <v>0.9869</v>
      </c>
      <c r="AJ9">
        <v>0.98319999999999996</v>
      </c>
      <c r="AK9">
        <v>0.97899999999999998</v>
      </c>
      <c r="AL9">
        <v>0.97430000000000005</v>
      </c>
      <c r="AM9">
        <v>0.96919999999999995</v>
      </c>
      <c r="AN9">
        <v>0.96360000000000001</v>
      </c>
      <c r="AO9">
        <v>0.95760000000000001</v>
      </c>
      <c r="AP9">
        <v>0.95109999999999995</v>
      </c>
      <c r="AQ9">
        <v>0.94410000000000005</v>
      </c>
      <c r="AR9">
        <v>0.93669999999999998</v>
      </c>
      <c r="AS9">
        <v>0.92879999999999996</v>
      </c>
      <c r="AT9">
        <v>0.9204</v>
      </c>
      <c r="AU9">
        <v>0.91159999999999997</v>
      </c>
      <c r="AV9">
        <v>0.90229999999999999</v>
      </c>
      <c r="AW9">
        <v>0.89249999999999996</v>
      </c>
      <c r="AX9">
        <v>0.88249999999999995</v>
      </c>
      <c r="AY9">
        <v>0.87239999999999995</v>
      </c>
      <c r="AZ9">
        <v>0.86240000000000006</v>
      </c>
      <c r="BA9">
        <v>0.85229999999999995</v>
      </c>
      <c r="BB9">
        <v>0.84230000000000005</v>
      </c>
      <c r="BC9">
        <v>0.83220000000000005</v>
      </c>
      <c r="BD9">
        <v>0.82220000000000004</v>
      </c>
      <c r="BE9">
        <v>0.81210000000000004</v>
      </c>
      <c r="BF9">
        <v>0.80210000000000004</v>
      </c>
      <c r="BG9">
        <v>0.79200000000000004</v>
      </c>
      <c r="BH9">
        <v>0.78200000000000003</v>
      </c>
      <c r="BI9">
        <v>0.77190000000000003</v>
      </c>
      <c r="BJ9">
        <v>0.76180000000000003</v>
      </c>
      <c r="BK9">
        <v>0.75180000000000002</v>
      </c>
      <c r="BL9">
        <v>0.74170000000000003</v>
      </c>
      <c r="BM9">
        <v>0.73170000000000002</v>
      </c>
      <c r="BN9">
        <v>0.72160000000000002</v>
      </c>
      <c r="BO9">
        <v>0.71160000000000001</v>
      </c>
      <c r="BP9">
        <v>0.70150000000000001</v>
      </c>
      <c r="BQ9">
        <v>0.6915</v>
      </c>
      <c r="BR9">
        <v>0.68140000000000001</v>
      </c>
      <c r="BS9">
        <v>0.6714</v>
      </c>
      <c r="BT9">
        <v>0.6613</v>
      </c>
      <c r="BU9">
        <v>0.65129999999999999</v>
      </c>
      <c r="BV9">
        <v>0.64119999999999999</v>
      </c>
      <c r="BW9">
        <v>0.63119999999999998</v>
      </c>
      <c r="BX9">
        <v>0.62090000000000001</v>
      </c>
      <c r="BY9">
        <v>0.60980000000000001</v>
      </c>
      <c r="BZ9">
        <v>0.59799999999999998</v>
      </c>
      <c r="CA9">
        <v>0.58550000000000002</v>
      </c>
      <c r="CB9">
        <v>0.57210000000000005</v>
      </c>
      <c r="CC9">
        <v>0.55800000000000005</v>
      </c>
      <c r="CD9">
        <v>0.54310000000000003</v>
      </c>
      <c r="CE9">
        <v>0.52749999999999997</v>
      </c>
      <c r="CF9">
        <v>0.51100000000000001</v>
      </c>
      <c r="CG9">
        <v>0.49390000000000001</v>
      </c>
      <c r="CH9">
        <v>0.47589999999999999</v>
      </c>
      <c r="CI9">
        <v>0.4572</v>
      </c>
      <c r="CJ9">
        <v>0.43769999999999998</v>
      </c>
      <c r="CK9">
        <v>0.41739999999999999</v>
      </c>
      <c r="CL9">
        <v>0.39639999999999997</v>
      </c>
      <c r="CM9">
        <v>0.3745</v>
      </c>
      <c r="CN9">
        <v>0.35199999999999998</v>
      </c>
      <c r="CO9">
        <v>0.3286</v>
      </c>
      <c r="CP9">
        <v>0.30449999999999999</v>
      </c>
      <c r="CQ9">
        <v>0.27960000000000002</v>
      </c>
      <c r="CR9">
        <v>0.254</v>
      </c>
      <c r="CS9">
        <v>0.2276</v>
      </c>
      <c r="CT9">
        <v>0.20039999999999999</v>
      </c>
      <c r="CU9">
        <v>0.1724</v>
      </c>
      <c r="CV9">
        <v>0.14369999999999999</v>
      </c>
    </row>
    <row r="10" spans="1:100" x14ac:dyDescent="0.2">
      <c r="A10" t="s">
        <v>57</v>
      </c>
      <c r="B10" t="s">
        <v>35</v>
      </c>
      <c r="C10" s="13">
        <v>15</v>
      </c>
      <c r="D10">
        <v>2735.0000000000005</v>
      </c>
      <c r="E10">
        <v>0.67269999999999996</v>
      </c>
      <c r="F10">
        <v>0.70699999999999996</v>
      </c>
      <c r="G10">
        <v>0.73950000000000005</v>
      </c>
      <c r="H10">
        <v>0.77010000000000001</v>
      </c>
      <c r="I10">
        <v>0.79890000000000005</v>
      </c>
      <c r="J10">
        <v>0.82599999999999996</v>
      </c>
      <c r="K10">
        <v>0.85109999999999997</v>
      </c>
      <c r="L10">
        <v>0.87450000000000006</v>
      </c>
      <c r="M10">
        <v>0.89610000000000001</v>
      </c>
      <c r="N10">
        <v>0.91579999999999995</v>
      </c>
      <c r="O10">
        <v>0.93369999999999997</v>
      </c>
      <c r="P10">
        <v>0.95069999999999999</v>
      </c>
      <c r="Q10">
        <v>0.9677</v>
      </c>
      <c r="R10">
        <v>0.98250000000000004</v>
      </c>
      <c r="S10">
        <v>0.99280000000000002</v>
      </c>
      <c r="T10">
        <v>0.99860000000000004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0.99980000000000002</v>
      </c>
      <c r="AD10">
        <v>0.99909999999999999</v>
      </c>
      <c r="AE10">
        <v>0.99790000000000001</v>
      </c>
      <c r="AF10">
        <v>0.99629999999999996</v>
      </c>
      <c r="AG10">
        <v>0.99409999999999998</v>
      </c>
      <c r="AH10">
        <v>0.99139999999999995</v>
      </c>
      <c r="AI10">
        <v>0.98829999999999996</v>
      </c>
      <c r="AJ10">
        <v>0.98470000000000002</v>
      </c>
      <c r="AK10">
        <v>0.98060000000000003</v>
      </c>
      <c r="AL10">
        <v>0.97599999999999998</v>
      </c>
      <c r="AM10">
        <v>0.97089999999999999</v>
      </c>
      <c r="AN10">
        <v>0.96530000000000005</v>
      </c>
      <c r="AO10">
        <v>0.95920000000000005</v>
      </c>
      <c r="AP10">
        <v>0.95269999999999999</v>
      </c>
      <c r="AQ10">
        <v>0.9456</v>
      </c>
      <c r="AR10">
        <v>0.93810000000000004</v>
      </c>
      <c r="AS10">
        <v>0.93</v>
      </c>
      <c r="AT10">
        <v>0.92149999999999999</v>
      </c>
      <c r="AU10">
        <v>0.91249999999999998</v>
      </c>
      <c r="AV10">
        <v>0.90300000000000002</v>
      </c>
      <c r="AW10">
        <v>0.89300000000000002</v>
      </c>
      <c r="AX10">
        <v>0.88280000000000003</v>
      </c>
      <c r="AY10">
        <v>0.87270000000000003</v>
      </c>
      <c r="AZ10">
        <v>0.86250000000000004</v>
      </c>
      <c r="BA10">
        <v>0.85229999999999995</v>
      </c>
      <c r="BB10">
        <v>0.84209999999999996</v>
      </c>
      <c r="BC10">
        <v>0.83189999999999997</v>
      </c>
      <c r="BD10">
        <v>0.82169999999999999</v>
      </c>
      <c r="BE10">
        <v>0.8115</v>
      </c>
      <c r="BF10">
        <v>0.80130000000000001</v>
      </c>
      <c r="BG10">
        <v>0.79110000000000003</v>
      </c>
      <c r="BH10">
        <v>0.78090000000000004</v>
      </c>
      <c r="BI10">
        <v>0.77080000000000004</v>
      </c>
      <c r="BJ10">
        <v>0.76060000000000005</v>
      </c>
      <c r="BK10">
        <v>0.75039999999999996</v>
      </c>
      <c r="BL10">
        <v>0.74019999999999997</v>
      </c>
      <c r="BM10">
        <v>0.73</v>
      </c>
      <c r="BN10">
        <v>0.7198</v>
      </c>
      <c r="BO10">
        <v>0.70960000000000001</v>
      </c>
      <c r="BP10">
        <v>0.69940000000000002</v>
      </c>
      <c r="BQ10">
        <v>0.68920000000000003</v>
      </c>
      <c r="BR10">
        <v>0.67910000000000004</v>
      </c>
      <c r="BS10">
        <v>0.66890000000000005</v>
      </c>
      <c r="BT10">
        <v>0.65869999999999995</v>
      </c>
      <c r="BU10">
        <v>0.64849999999999997</v>
      </c>
      <c r="BV10">
        <v>0.63829999999999998</v>
      </c>
      <c r="BW10">
        <v>0.62809999999999999</v>
      </c>
      <c r="BX10">
        <v>0.61780000000000002</v>
      </c>
      <c r="BY10">
        <v>0.60680000000000001</v>
      </c>
      <c r="BZ10">
        <v>0.59509999999999996</v>
      </c>
      <c r="CA10">
        <v>0.58250000000000002</v>
      </c>
      <c r="CB10">
        <v>0.56920000000000004</v>
      </c>
      <c r="CC10">
        <v>0.55510000000000004</v>
      </c>
      <c r="CD10">
        <v>0.54020000000000001</v>
      </c>
      <c r="CE10">
        <v>0.52459999999999996</v>
      </c>
      <c r="CF10">
        <v>0.5081</v>
      </c>
      <c r="CG10">
        <v>0.4909</v>
      </c>
      <c r="CH10">
        <v>0.47289999999999999</v>
      </c>
      <c r="CI10">
        <v>0.4541</v>
      </c>
      <c r="CJ10">
        <v>0.4345</v>
      </c>
      <c r="CK10">
        <v>0.41420000000000001</v>
      </c>
      <c r="CL10">
        <v>0.3931</v>
      </c>
      <c r="CM10">
        <v>0.37119999999999997</v>
      </c>
      <c r="CN10">
        <v>0.34849999999999998</v>
      </c>
      <c r="CO10">
        <v>0.32500000000000001</v>
      </c>
      <c r="CP10">
        <v>0.30070000000000002</v>
      </c>
      <c r="CQ10">
        <v>0.2757</v>
      </c>
      <c r="CR10">
        <v>0.24990000000000001</v>
      </c>
      <c r="CS10">
        <v>0.2233</v>
      </c>
      <c r="CT10">
        <v>0.19589999999999999</v>
      </c>
      <c r="CU10">
        <v>0.1678</v>
      </c>
      <c r="CV10">
        <v>0.1389</v>
      </c>
    </row>
    <row r="11" spans="1:100" x14ac:dyDescent="0.2">
      <c r="A11" t="s">
        <v>58</v>
      </c>
      <c r="B11" t="s">
        <v>36</v>
      </c>
      <c r="C11" s="13">
        <v>16.093440000000001</v>
      </c>
      <c r="D11">
        <v>2939.9999999999995</v>
      </c>
      <c r="E11">
        <v>0.6673</v>
      </c>
      <c r="F11">
        <v>0.70179999999999998</v>
      </c>
      <c r="G11">
        <v>0.73450000000000004</v>
      </c>
      <c r="H11">
        <v>0.76539999999999997</v>
      </c>
      <c r="I11">
        <v>0.7944</v>
      </c>
      <c r="J11">
        <v>0.8216</v>
      </c>
      <c r="K11">
        <v>0.84699999999999998</v>
      </c>
      <c r="L11">
        <v>0.87060000000000004</v>
      </c>
      <c r="M11">
        <v>0.89229999999999998</v>
      </c>
      <c r="N11">
        <v>0.91220000000000001</v>
      </c>
      <c r="O11">
        <v>0.93030000000000002</v>
      </c>
      <c r="P11">
        <v>0.94750000000000001</v>
      </c>
      <c r="Q11">
        <v>0.9647</v>
      </c>
      <c r="R11">
        <v>0.9798</v>
      </c>
      <c r="S11">
        <v>0.99070000000000003</v>
      </c>
      <c r="T11">
        <v>0.99750000000000005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0.99990000000000001</v>
      </c>
      <c r="AD11">
        <v>0.99929999999999997</v>
      </c>
      <c r="AE11">
        <v>0.99819999999999998</v>
      </c>
      <c r="AF11">
        <v>0.99650000000000005</v>
      </c>
      <c r="AG11">
        <v>0.99439999999999995</v>
      </c>
      <c r="AH11">
        <v>0.9919</v>
      </c>
      <c r="AI11">
        <v>0.98880000000000001</v>
      </c>
      <c r="AJ11">
        <v>0.98519999999999996</v>
      </c>
      <c r="AK11">
        <v>0.98109999999999997</v>
      </c>
      <c r="AL11">
        <v>0.97650000000000003</v>
      </c>
      <c r="AM11">
        <v>0.97140000000000004</v>
      </c>
      <c r="AN11">
        <v>0.96579999999999999</v>
      </c>
      <c r="AO11">
        <v>0.9597</v>
      </c>
      <c r="AP11">
        <v>0.95320000000000005</v>
      </c>
      <c r="AQ11">
        <v>0.94610000000000005</v>
      </c>
      <c r="AR11">
        <v>0.9385</v>
      </c>
      <c r="AS11">
        <v>0.9304</v>
      </c>
      <c r="AT11">
        <v>0.92190000000000005</v>
      </c>
      <c r="AU11">
        <v>0.91279999999999994</v>
      </c>
      <c r="AV11">
        <v>0.90329999999999999</v>
      </c>
      <c r="AW11">
        <v>0.89319999999999999</v>
      </c>
      <c r="AX11">
        <v>0.88300000000000001</v>
      </c>
      <c r="AY11">
        <v>0.87270000000000003</v>
      </c>
      <c r="AZ11">
        <v>0.86250000000000004</v>
      </c>
      <c r="BA11">
        <v>0.85229999999999995</v>
      </c>
      <c r="BB11">
        <v>0.84199999999999997</v>
      </c>
      <c r="BC11">
        <v>0.83179999999999998</v>
      </c>
      <c r="BD11">
        <v>0.8216</v>
      </c>
      <c r="BE11">
        <v>0.81130000000000002</v>
      </c>
      <c r="BF11">
        <v>0.80110000000000003</v>
      </c>
      <c r="BG11">
        <v>0.79090000000000005</v>
      </c>
      <c r="BH11">
        <v>0.78059999999999996</v>
      </c>
      <c r="BI11">
        <v>0.77039999999999997</v>
      </c>
      <c r="BJ11">
        <v>0.76019999999999999</v>
      </c>
      <c r="BK11">
        <v>0.74990000000000001</v>
      </c>
      <c r="BL11">
        <v>0.73970000000000002</v>
      </c>
      <c r="BM11">
        <v>0.72950000000000004</v>
      </c>
      <c r="BN11">
        <v>0.71919999999999995</v>
      </c>
      <c r="BO11">
        <v>0.70899999999999996</v>
      </c>
      <c r="BP11">
        <v>0.69879999999999998</v>
      </c>
      <c r="BQ11">
        <v>0.6885</v>
      </c>
      <c r="BR11">
        <v>0.67830000000000001</v>
      </c>
      <c r="BS11">
        <v>0.66810000000000003</v>
      </c>
      <c r="BT11">
        <v>0.65780000000000005</v>
      </c>
      <c r="BU11">
        <v>0.64759999999999995</v>
      </c>
      <c r="BV11">
        <v>0.63739999999999997</v>
      </c>
      <c r="BW11">
        <v>0.62709999999999999</v>
      </c>
      <c r="BX11">
        <v>0.61680000000000001</v>
      </c>
      <c r="BY11">
        <v>0.60589999999999999</v>
      </c>
      <c r="BZ11">
        <v>0.59409999999999996</v>
      </c>
      <c r="CA11">
        <v>0.58160000000000001</v>
      </c>
      <c r="CB11">
        <v>0.56830000000000003</v>
      </c>
      <c r="CC11">
        <v>0.55420000000000003</v>
      </c>
      <c r="CD11">
        <v>0.5393</v>
      </c>
      <c r="CE11">
        <v>0.52370000000000005</v>
      </c>
      <c r="CF11">
        <v>0.50719999999999998</v>
      </c>
      <c r="CG11">
        <v>0.49</v>
      </c>
      <c r="CH11">
        <v>0.47199999999999998</v>
      </c>
      <c r="CI11">
        <v>0.45319999999999999</v>
      </c>
      <c r="CJ11">
        <v>0.43359999999999999</v>
      </c>
      <c r="CK11">
        <v>0.41320000000000001</v>
      </c>
      <c r="CL11">
        <v>0.39200000000000002</v>
      </c>
      <c r="CM11">
        <v>0.37009999999999998</v>
      </c>
      <c r="CN11">
        <v>0.34739999999999999</v>
      </c>
      <c r="CO11">
        <v>0.32390000000000002</v>
      </c>
      <c r="CP11">
        <v>0.29959999999999998</v>
      </c>
      <c r="CQ11">
        <v>0.27450000000000002</v>
      </c>
      <c r="CR11">
        <v>0.24859999999999999</v>
      </c>
      <c r="CS11">
        <v>0.222</v>
      </c>
      <c r="CT11">
        <v>0.1946</v>
      </c>
      <c r="CU11">
        <v>0.16639999999999999</v>
      </c>
      <c r="CV11">
        <v>0.13739999999999999</v>
      </c>
    </row>
    <row r="12" spans="1:100" x14ac:dyDescent="0.2">
      <c r="A12" t="s">
        <v>59</v>
      </c>
      <c r="B12" t="s">
        <v>37</v>
      </c>
      <c r="C12" s="13">
        <v>20</v>
      </c>
      <c r="D12">
        <v>3689.9999999999995</v>
      </c>
      <c r="E12">
        <v>0.64170000000000005</v>
      </c>
      <c r="F12">
        <v>0.67749999999999999</v>
      </c>
      <c r="G12">
        <v>0.71140000000000003</v>
      </c>
      <c r="H12">
        <v>0.74360000000000004</v>
      </c>
      <c r="I12">
        <v>0.77390000000000003</v>
      </c>
      <c r="J12">
        <v>0.8024</v>
      </c>
      <c r="K12">
        <v>0.82909999999999995</v>
      </c>
      <c r="L12">
        <v>0.85399999999999998</v>
      </c>
      <c r="M12">
        <v>0.877</v>
      </c>
      <c r="N12">
        <v>0.89829999999999999</v>
      </c>
      <c r="O12">
        <v>0.91769999999999996</v>
      </c>
      <c r="P12">
        <v>0.93620000000000003</v>
      </c>
      <c r="Q12">
        <v>0.95469999999999999</v>
      </c>
      <c r="R12">
        <v>0.97130000000000005</v>
      </c>
      <c r="S12">
        <v>0.98409999999999997</v>
      </c>
      <c r="T12">
        <v>0.99319999999999997</v>
      </c>
      <c r="U12">
        <v>0.99850000000000005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0.99970000000000003</v>
      </c>
      <c r="AE12">
        <v>0.99880000000000002</v>
      </c>
      <c r="AF12">
        <v>0.99739999999999995</v>
      </c>
      <c r="AG12">
        <v>0.99550000000000005</v>
      </c>
      <c r="AH12">
        <v>0.99309999999999998</v>
      </c>
      <c r="AI12">
        <v>0.99009999999999998</v>
      </c>
      <c r="AJ12">
        <v>0.98660000000000003</v>
      </c>
      <c r="AK12">
        <v>0.98260000000000003</v>
      </c>
      <c r="AL12">
        <v>0.97809999999999997</v>
      </c>
      <c r="AM12">
        <v>0.97309999999999997</v>
      </c>
      <c r="AN12">
        <v>0.96750000000000003</v>
      </c>
      <c r="AO12">
        <v>0.96140000000000003</v>
      </c>
      <c r="AP12">
        <v>0.95479999999999998</v>
      </c>
      <c r="AQ12">
        <v>0.9476</v>
      </c>
      <c r="AR12">
        <v>0.93989999999999996</v>
      </c>
      <c r="AS12">
        <v>0.93179999999999996</v>
      </c>
      <c r="AT12">
        <v>0.92300000000000004</v>
      </c>
      <c r="AU12">
        <v>0.91379999999999995</v>
      </c>
      <c r="AV12">
        <v>0.90400000000000003</v>
      </c>
      <c r="AW12">
        <v>0.89380000000000004</v>
      </c>
      <c r="AX12">
        <v>0.88339999999999996</v>
      </c>
      <c r="AY12">
        <v>0.873</v>
      </c>
      <c r="AZ12">
        <v>0.86270000000000002</v>
      </c>
      <c r="BA12">
        <v>0.85229999999999995</v>
      </c>
      <c r="BB12">
        <v>0.84189999999999998</v>
      </c>
      <c r="BC12">
        <v>0.83160000000000001</v>
      </c>
      <c r="BD12">
        <v>0.82120000000000004</v>
      </c>
      <c r="BE12">
        <v>0.81079999999999997</v>
      </c>
      <c r="BF12">
        <v>0.80049999999999999</v>
      </c>
      <c r="BG12">
        <v>0.79010000000000002</v>
      </c>
      <c r="BH12">
        <v>0.77969999999999995</v>
      </c>
      <c r="BI12">
        <v>0.76939999999999997</v>
      </c>
      <c r="BJ12">
        <v>0.75900000000000001</v>
      </c>
      <c r="BK12">
        <v>0.74860000000000004</v>
      </c>
      <c r="BL12">
        <v>0.73829999999999996</v>
      </c>
      <c r="BM12">
        <v>0.72789999999999999</v>
      </c>
      <c r="BN12">
        <v>0.71750000000000003</v>
      </c>
      <c r="BO12">
        <v>0.70720000000000005</v>
      </c>
      <c r="BP12">
        <v>0.69679999999999997</v>
      </c>
      <c r="BQ12">
        <v>0.68640000000000001</v>
      </c>
      <c r="BR12">
        <v>0.67610000000000003</v>
      </c>
      <c r="BS12">
        <v>0.66569999999999996</v>
      </c>
      <c r="BT12">
        <v>0.65529999999999999</v>
      </c>
      <c r="BU12">
        <v>0.64500000000000002</v>
      </c>
      <c r="BV12">
        <v>0.63460000000000005</v>
      </c>
      <c r="BW12">
        <v>0.62419999999999998</v>
      </c>
      <c r="BX12">
        <v>0.6139</v>
      </c>
      <c r="BY12">
        <v>0.60299999999999998</v>
      </c>
      <c r="BZ12">
        <v>0.59130000000000005</v>
      </c>
      <c r="CA12">
        <v>0.57879999999999998</v>
      </c>
      <c r="CB12">
        <v>0.5655</v>
      </c>
      <c r="CC12">
        <v>0.5514</v>
      </c>
      <c r="CD12">
        <v>0.53649999999999998</v>
      </c>
      <c r="CE12">
        <v>0.52090000000000003</v>
      </c>
      <c r="CF12">
        <v>0.50439999999999996</v>
      </c>
      <c r="CG12">
        <v>0.48720000000000002</v>
      </c>
      <c r="CH12">
        <v>0.46910000000000002</v>
      </c>
      <c r="CI12">
        <v>0.45029999999999998</v>
      </c>
      <c r="CJ12">
        <v>0.43059999999999998</v>
      </c>
      <c r="CK12">
        <v>0.41020000000000001</v>
      </c>
      <c r="CL12">
        <v>0.38890000000000002</v>
      </c>
      <c r="CM12">
        <v>0.3669</v>
      </c>
      <c r="CN12">
        <v>0.34410000000000002</v>
      </c>
      <c r="CO12">
        <v>0.32050000000000001</v>
      </c>
      <c r="CP12">
        <v>0.29609999999999997</v>
      </c>
      <c r="CQ12">
        <v>0.27079999999999999</v>
      </c>
      <c r="CR12">
        <v>0.24479999999999999</v>
      </c>
      <c r="CS12">
        <v>0.218</v>
      </c>
      <c r="CT12">
        <v>0.19040000000000001</v>
      </c>
      <c r="CU12">
        <v>0.16200000000000001</v>
      </c>
      <c r="CV12">
        <v>0.13289999999999999</v>
      </c>
    </row>
    <row r="13" spans="1:100" x14ac:dyDescent="0.2">
      <c r="A13" t="s">
        <v>60</v>
      </c>
      <c r="B13" t="s">
        <v>21</v>
      </c>
      <c r="C13" s="13">
        <v>21.0975</v>
      </c>
      <c r="D13">
        <v>3871</v>
      </c>
      <c r="E13">
        <v>0.63349999999999995</v>
      </c>
      <c r="F13">
        <v>0.66979999999999995</v>
      </c>
      <c r="G13">
        <v>0.70430000000000004</v>
      </c>
      <c r="H13">
        <v>0.7369</v>
      </c>
      <c r="I13">
        <v>0.76770000000000005</v>
      </c>
      <c r="J13">
        <v>0.79679999999999995</v>
      </c>
      <c r="K13">
        <v>0.82389999999999997</v>
      </c>
      <c r="L13">
        <v>0.84930000000000005</v>
      </c>
      <c r="M13">
        <v>0.87290000000000001</v>
      </c>
      <c r="N13">
        <v>0.89459999999999995</v>
      </c>
      <c r="O13">
        <v>0.91449999999999998</v>
      </c>
      <c r="P13">
        <v>0.9335</v>
      </c>
      <c r="Q13">
        <v>0.95250000000000001</v>
      </c>
      <c r="R13">
        <v>0.96960000000000002</v>
      </c>
      <c r="S13">
        <v>0.9829</v>
      </c>
      <c r="T13">
        <v>0.99239999999999995</v>
      </c>
      <c r="U13">
        <v>0.99809999999999999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0.99970000000000003</v>
      </c>
      <c r="AE13">
        <v>0.99890000000000001</v>
      </c>
      <c r="AF13">
        <v>0.99760000000000004</v>
      </c>
      <c r="AG13">
        <v>0.99580000000000002</v>
      </c>
      <c r="AH13">
        <v>0.99339999999999995</v>
      </c>
      <c r="AI13">
        <v>0.99039999999999995</v>
      </c>
      <c r="AJ13">
        <v>0.98699999999999999</v>
      </c>
      <c r="AK13">
        <v>0.98299999999999998</v>
      </c>
      <c r="AL13">
        <v>0.97850000000000004</v>
      </c>
      <c r="AM13">
        <v>0.97350000000000003</v>
      </c>
      <c r="AN13">
        <v>0.96789999999999998</v>
      </c>
      <c r="AO13">
        <v>0.96179999999999999</v>
      </c>
      <c r="AP13">
        <v>0.95520000000000005</v>
      </c>
      <c r="AQ13">
        <v>0.94799999999999995</v>
      </c>
      <c r="AR13">
        <v>0.94030000000000002</v>
      </c>
      <c r="AS13">
        <v>0.93210000000000004</v>
      </c>
      <c r="AT13">
        <v>0.92330000000000001</v>
      </c>
      <c r="AU13">
        <v>0.91400000000000003</v>
      </c>
      <c r="AV13">
        <v>0.9042</v>
      </c>
      <c r="AW13">
        <v>0.89390000000000003</v>
      </c>
      <c r="AX13">
        <v>0.88349999999999995</v>
      </c>
      <c r="AY13">
        <v>0.87309999999999999</v>
      </c>
      <c r="AZ13">
        <v>0.86270000000000002</v>
      </c>
      <c r="BA13">
        <v>0.85229999999999995</v>
      </c>
      <c r="BB13">
        <v>0.84189999999999998</v>
      </c>
      <c r="BC13">
        <v>0.83150000000000002</v>
      </c>
      <c r="BD13">
        <v>0.82110000000000005</v>
      </c>
      <c r="BE13">
        <v>0.81069999999999998</v>
      </c>
      <c r="BF13">
        <v>0.80030000000000001</v>
      </c>
      <c r="BG13">
        <v>0.78990000000000005</v>
      </c>
      <c r="BH13">
        <v>0.77949999999999997</v>
      </c>
      <c r="BI13">
        <v>0.76910000000000001</v>
      </c>
      <c r="BJ13">
        <v>0.75870000000000004</v>
      </c>
      <c r="BK13">
        <v>0.74829999999999997</v>
      </c>
      <c r="BL13">
        <v>0.7379</v>
      </c>
      <c r="BM13">
        <v>0.72750000000000004</v>
      </c>
      <c r="BN13">
        <v>0.71709999999999996</v>
      </c>
      <c r="BO13">
        <v>0.70669999999999999</v>
      </c>
      <c r="BP13">
        <v>0.69630000000000003</v>
      </c>
      <c r="BQ13">
        <v>0.68589999999999995</v>
      </c>
      <c r="BR13">
        <v>0.67549999999999999</v>
      </c>
      <c r="BS13">
        <v>0.66510000000000002</v>
      </c>
      <c r="BT13">
        <v>0.65469999999999995</v>
      </c>
      <c r="BU13">
        <v>0.64429999999999998</v>
      </c>
      <c r="BV13">
        <v>0.63390000000000002</v>
      </c>
      <c r="BW13">
        <v>0.62350000000000005</v>
      </c>
      <c r="BX13">
        <v>0.61309999999999998</v>
      </c>
      <c r="BY13">
        <v>0.60219999999999996</v>
      </c>
      <c r="BZ13">
        <v>0.59060000000000001</v>
      </c>
      <c r="CA13">
        <v>0.57809999999999995</v>
      </c>
      <c r="CB13">
        <v>0.56479999999999997</v>
      </c>
      <c r="CC13">
        <v>0.55069999999999997</v>
      </c>
      <c r="CD13">
        <v>0.53590000000000004</v>
      </c>
      <c r="CE13">
        <v>0.5202</v>
      </c>
      <c r="CF13">
        <v>0.50370000000000004</v>
      </c>
      <c r="CG13">
        <v>0.48649999999999999</v>
      </c>
      <c r="CH13">
        <v>0.46839999999999998</v>
      </c>
      <c r="CI13">
        <v>0.4496</v>
      </c>
      <c r="CJ13">
        <v>0.4299</v>
      </c>
      <c r="CK13">
        <v>0.40939999999999999</v>
      </c>
      <c r="CL13">
        <v>0.38819999999999999</v>
      </c>
      <c r="CM13">
        <v>0.36609999999999998</v>
      </c>
      <c r="CN13">
        <v>0.34329999999999999</v>
      </c>
      <c r="CO13">
        <v>0.3196</v>
      </c>
      <c r="CP13">
        <v>0.29520000000000002</v>
      </c>
      <c r="CQ13">
        <v>0.27</v>
      </c>
      <c r="CR13">
        <v>0.24390000000000001</v>
      </c>
      <c r="CS13">
        <v>0.21709999999999999</v>
      </c>
      <c r="CT13">
        <v>0.18940000000000001</v>
      </c>
      <c r="CU13">
        <v>0.161</v>
      </c>
      <c r="CV13">
        <v>0.1318</v>
      </c>
    </row>
    <row r="14" spans="1:100" x14ac:dyDescent="0.2">
      <c r="A14" t="s">
        <v>61</v>
      </c>
      <c r="B14" t="s">
        <v>38</v>
      </c>
      <c r="C14" s="13">
        <v>25</v>
      </c>
      <c r="D14">
        <v>4639.9999999999991</v>
      </c>
      <c r="E14">
        <v>0.63349999999999995</v>
      </c>
      <c r="F14">
        <v>0.66979999999999995</v>
      </c>
      <c r="G14">
        <v>0.70430000000000004</v>
      </c>
      <c r="H14">
        <v>0.7369</v>
      </c>
      <c r="I14">
        <v>0.76770000000000005</v>
      </c>
      <c r="J14">
        <v>0.79679999999999995</v>
      </c>
      <c r="K14">
        <v>0.82389999999999997</v>
      </c>
      <c r="L14">
        <v>0.84930000000000005</v>
      </c>
      <c r="M14">
        <v>0.87290000000000001</v>
      </c>
      <c r="N14">
        <v>0.89459999999999995</v>
      </c>
      <c r="O14">
        <v>0.91449999999999998</v>
      </c>
      <c r="P14">
        <v>0.9335</v>
      </c>
      <c r="Q14">
        <v>0.95250000000000001</v>
      </c>
      <c r="R14">
        <v>0.96960000000000002</v>
      </c>
      <c r="S14">
        <v>0.9829</v>
      </c>
      <c r="T14">
        <v>0.99239999999999995</v>
      </c>
      <c r="U14">
        <v>0.99809999999999999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0.99950000000000006</v>
      </c>
      <c r="AF14">
        <v>0.99839999999999995</v>
      </c>
      <c r="AG14">
        <v>0.99680000000000002</v>
      </c>
      <c r="AH14">
        <v>0.99470000000000003</v>
      </c>
      <c r="AI14">
        <v>0.9919</v>
      </c>
      <c r="AJ14">
        <v>0.98860000000000003</v>
      </c>
      <c r="AK14">
        <v>0.98480000000000001</v>
      </c>
      <c r="AL14">
        <v>0.98040000000000005</v>
      </c>
      <c r="AM14">
        <v>0.97540000000000004</v>
      </c>
      <c r="AN14">
        <v>0.96989999999999998</v>
      </c>
      <c r="AO14">
        <v>0.96379999999999999</v>
      </c>
      <c r="AP14">
        <v>0.95709999999999995</v>
      </c>
      <c r="AQ14">
        <v>0.94989999999999997</v>
      </c>
      <c r="AR14">
        <v>0.94210000000000005</v>
      </c>
      <c r="AS14">
        <v>0.93379999999999996</v>
      </c>
      <c r="AT14">
        <v>0.92490000000000006</v>
      </c>
      <c r="AU14">
        <v>0.91539999999999999</v>
      </c>
      <c r="AV14">
        <v>0.90539999999999998</v>
      </c>
      <c r="AW14">
        <v>0.89490000000000003</v>
      </c>
      <c r="AX14">
        <v>0.88429999999999997</v>
      </c>
      <c r="AY14">
        <v>0.87370000000000003</v>
      </c>
      <c r="AZ14">
        <v>0.86319999999999997</v>
      </c>
      <c r="BA14">
        <v>0.85260000000000002</v>
      </c>
      <c r="BB14">
        <v>0.84199999999999997</v>
      </c>
      <c r="BC14">
        <v>0.83150000000000002</v>
      </c>
      <c r="BD14">
        <v>0.82089999999999996</v>
      </c>
      <c r="BE14">
        <v>0.81040000000000001</v>
      </c>
      <c r="BF14">
        <v>0.79979999999999996</v>
      </c>
      <c r="BG14">
        <v>0.78920000000000001</v>
      </c>
      <c r="BH14">
        <v>0.77869999999999995</v>
      </c>
      <c r="BI14">
        <v>0.7681</v>
      </c>
      <c r="BJ14">
        <v>0.75760000000000005</v>
      </c>
      <c r="BK14">
        <v>0.747</v>
      </c>
      <c r="BL14">
        <v>0.73640000000000005</v>
      </c>
      <c r="BM14">
        <v>0.72589999999999999</v>
      </c>
      <c r="BN14">
        <v>0.71530000000000005</v>
      </c>
      <c r="BO14">
        <v>0.70469999999999999</v>
      </c>
      <c r="BP14">
        <v>0.69420000000000004</v>
      </c>
      <c r="BQ14">
        <v>0.68359999999999999</v>
      </c>
      <c r="BR14">
        <v>0.67310000000000003</v>
      </c>
      <c r="BS14">
        <v>0.66249999999999998</v>
      </c>
      <c r="BT14">
        <v>0.65190000000000003</v>
      </c>
      <c r="BU14">
        <v>0.64139999999999997</v>
      </c>
      <c r="BV14">
        <v>0.63080000000000003</v>
      </c>
      <c r="BW14">
        <v>0.62029999999999996</v>
      </c>
      <c r="BX14">
        <v>0.60960000000000003</v>
      </c>
      <c r="BY14">
        <v>0.59819999999999995</v>
      </c>
      <c r="BZ14">
        <v>0.58589999999999998</v>
      </c>
      <c r="CA14">
        <v>0.57289999999999996</v>
      </c>
      <c r="CB14">
        <v>0.55910000000000004</v>
      </c>
      <c r="CC14">
        <v>0.54449999999999998</v>
      </c>
      <c r="CD14">
        <v>0.52910000000000001</v>
      </c>
      <c r="CE14">
        <v>0.51290000000000002</v>
      </c>
      <c r="CF14">
        <v>0.49590000000000001</v>
      </c>
      <c r="CG14">
        <v>0.47810000000000002</v>
      </c>
      <c r="CH14">
        <v>0.45950000000000002</v>
      </c>
      <c r="CI14">
        <v>0.44009999999999999</v>
      </c>
      <c r="CJ14">
        <v>0.4199</v>
      </c>
      <c r="CK14">
        <v>0.39889999999999998</v>
      </c>
      <c r="CL14">
        <v>0.37709999999999999</v>
      </c>
      <c r="CM14">
        <v>0.35449999999999998</v>
      </c>
      <c r="CN14">
        <v>0.33119999999999999</v>
      </c>
      <c r="CO14">
        <v>0.307</v>
      </c>
      <c r="CP14">
        <v>0.28199999999999997</v>
      </c>
      <c r="CQ14">
        <v>0.25619999999999998</v>
      </c>
      <c r="CR14">
        <v>0.2296</v>
      </c>
      <c r="CS14">
        <v>0.20219999999999999</v>
      </c>
      <c r="CT14">
        <v>0.17399999999999999</v>
      </c>
      <c r="CU14">
        <v>0.14510000000000001</v>
      </c>
      <c r="CV14">
        <v>0.1153</v>
      </c>
    </row>
    <row r="15" spans="1:100" x14ac:dyDescent="0.2">
      <c r="A15" t="s">
        <v>62</v>
      </c>
      <c r="B15" t="s">
        <v>39</v>
      </c>
      <c r="C15" s="13">
        <v>30</v>
      </c>
      <c r="D15">
        <v>5625</v>
      </c>
      <c r="E15">
        <v>0.65400000000000003</v>
      </c>
      <c r="F15">
        <v>0.68820000000000003</v>
      </c>
      <c r="G15">
        <v>0.72060000000000002</v>
      </c>
      <c r="H15">
        <v>0.75139999999999996</v>
      </c>
      <c r="I15">
        <v>0.78039999999999998</v>
      </c>
      <c r="J15">
        <v>0.80779999999999996</v>
      </c>
      <c r="K15">
        <v>0.83340000000000003</v>
      </c>
      <c r="L15">
        <v>0.85740000000000005</v>
      </c>
      <c r="M15">
        <v>0.87960000000000005</v>
      </c>
      <c r="N15">
        <v>0.9002</v>
      </c>
      <c r="O15">
        <v>0.91900000000000004</v>
      </c>
      <c r="P15">
        <v>0.93700000000000006</v>
      </c>
      <c r="Q15">
        <v>0.95499999999999996</v>
      </c>
      <c r="R15">
        <v>0.97119999999999995</v>
      </c>
      <c r="S15">
        <v>0.98380000000000001</v>
      </c>
      <c r="T15">
        <v>0.99280000000000002</v>
      </c>
      <c r="U15">
        <v>0.99819999999999998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0.99990000000000001</v>
      </c>
      <c r="AF15">
        <v>0.99919999999999998</v>
      </c>
      <c r="AG15">
        <v>0.99790000000000001</v>
      </c>
      <c r="AH15">
        <v>0.996</v>
      </c>
      <c r="AI15">
        <v>0.99350000000000005</v>
      </c>
      <c r="AJ15">
        <v>0.99039999999999995</v>
      </c>
      <c r="AK15">
        <v>0.98670000000000002</v>
      </c>
      <c r="AL15">
        <v>0.98240000000000005</v>
      </c>
      <c r="AM15">
        <v>0.97750000000000004</v>
      </c>
      <c r="AN15">
        <v>0.97199999999999998</v>
      </c>
      <c r="AO15">
        <v>0.96589999999999998</v>
      </c>
      <c r="AP15">
        <v>0.95930000000000004</v>
      </c>
      <c r="AQ15">
        <v>0.95199999999999996</v>
      </c>
      <c r="AR15">
        <v>0.94410000000000005</v>
      </c>
      <c r="AS15">
        <v>0.93569999999999998</v>
      </c>
      <c r="AT15">
        <v>0.92659999999999998</v>
      </c>
      <c r="AU15">
        <v>0.91690000000000005</v>
      </c>
      <c r="AV15">
        <v>0.90669999999999995</v>
      </c>
      <c r="AW15">
        <v>0.89600000000000002</v>
      </c>
      <c r="AX15">
        <v>0.88519999999999999</v>
      </c>
      <c r="AY15">
        <v>0.87450000000000006</v>
      </c>
      <c r="AZ15">
        <v>0.86370000000000002</v>
      </c>
      <c r="BA15">
        <v>0.85299999999999998</v>
      </c>
      <c r="BB15">
        <v>0.84230000000000005</v>
      </c>
      <c r="BC15">
        <v>0.83150000000000002</v>
      </c>
      <c r="BD15">
        <v>0.82079999999999997</v>
      </c>
      <c r="BE15">
        <v>0.81010000000000004</v>
      </c>
      <c r="BF15">
        <v>0.79930000000000001</v>
      </c>
      <c r="BG15">
        <v>0.78859999999999997</v>
      </c>
      <c r="BH15">
        <v>0.77790000000000004</v>
      </c>
      <c r="BI15">
        <v>0.7671</v>
      </c>
      <c r="BJ15">
        <v>0.75639999999999996</v>
      </c>
      <c r="BK15">
        <v>0.74570000000000003</v>
      </c>
      <c r="BL15">
        <v>0.7349</v>
      </c>
      <c r="BM15">
        <v>0.72419999999999995</v>
      </c>
      <c r="BN15">
        <v>0.71350000000000002</v>
      </c>
      <c r="BO15">
        <v>0.70269999999999999</v>
      </c>
      <c r="BP15">
        <v>0.69199999999999995</v>
      </c>
      <c r="BQ15">
        <v>0.68120000000000003</v>
      </c>
      <c r="BR15">
        <v>0.67049999999999998</v>
      </c>
      <c r="BS15">
        <v>0.65980000000000005</v>
      </c>
      <c r="BT15">
        <v>0.64900000000000002</v>
      </c>
      <c r="BU15">
        <v>0.63829999999999998</v>
      </c>
      <c r="BV15">
        <v>0.62760000000000005</v>
      </c>
      <c r="BW15">
        <v>0.61680000000000001</v>
      </c>
      <c r="BX15">
        <v>0.60560000000000003</v>
      </c>
      <c r="BY15">
        <v>0.59370000000000001</v>
      </c>
      <c r="BZ15">
        <v>0.58089999999999997</v>
      </c>
      <c r="CA15">
        <v>0.56730000000000003</v>
      </c>
      <c r="CB15">
        <v>0.55289999999999995</v>
      </c>
      <c r="CC15">
        <v>0.53769999999999996</v>
      </c>
      <c r="CD15">
        <v>0.52180000000000004</v>
      </c>
      <c r="CE15">
        <v>0.505</v>
      </c>
      <c r="CF15">
        <v>0.4874</v>
      </c>
      <c r="CG15">
        <v>0.46899999999999997</v>
      </c>
      <c r="CH15">
        <v>0.44979999999999998</v>
      </c>
      <c r="CI15">
        <v>0.4299</v>
      </c>
      <c r="CJ15">
        <v>0.40910000000000002</v>
      </c>
      <c r="CK15">
        <v>0.38750000000000001</v>
      </c>
      <c r="CL15">
        <v>0.36509999999999998</v>
      </c>
      <c r="CM15">
        <v>0.34200000000000003</v>
      </c>
      <c r="CN15">
        <v>0.318</v>
      </c>
      <c r="CO15">
        <v>0.29320000000000002</v>
      </c>
      <c r="CP15">
        <v>0.26769999999999999</v>
      </c>
      <c r="CQ15">
        <v>0.24129999999999999</v>
      </c>
      <c r="CR15">
        <v>0.21410000000000001</v>
      </c>
      <c r="CS15">
        <v>0.1862</v>
      </c>
      <c r="CT15">
        <v>0.15740000000000001</v>
      </c>
      <c r="CU15">
        <v>0.1278</v>
      </c>
      <c r="CV15">
        <v>9.7500000000000003E-2</v>
      </c>
    </row>
    <row r="16" spans="1:100" x14ac:dyDescent="0.2">
      <c r="A16" t="s">
        <v>63</v>
      </c>
      <c r="B16" t="s">
        <v>40</v>
      </c>
      <c r="C16" s="13">
        <v>42.195</v>
      </c>
      <c r="D16">
        <v>8043.9999999999991</v>
      </c>
      <c r="E16">
        <v>0.67700000000000005</v>
      </c>
      <c r="F16">
        <v>0.71030000000000004</v>
      </c>
      <c r="G16">
        <v>0.74180000000000001</v>
      </c>
      <c r="H16">
        <v>0.77139999999999997</v>
      </c>
      <c r="I16">
        <v>0.79920000000000002</v>
      </c>
      <c r="J16">
        <v>0.82530000000000003</v>
      </c>
      <c r="K16">
        <v>0.84940000000000004</v>
      </c>
      <c r="L16">
        <v>0.87180000000000002</v>
      </c>
      <c r="M16">
        <v>0.89239999999999997</v>
      </c>
      <c r="N16">
        <v>0.91110000000000002</v>
      </c>
      <c r="O16">
        <v>0.92800000000000005</v>
      </c>
      <c r="P16">
        <v>0.94399999999999995</v>
      </c>
      <c r="Q16">
        <v>0.96</v>
      </c>
      <c r="R16">
        <v>0.97440000000000004</v>
      </c>
      <c r="S16">
        <v>0.98560000000000003</v>
      </c>
      <c r="T16">
        <v>0.99360000000000004</v>
      </c>
      <c r="U16">
        <v>0.99839999999999995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0.99990000000000001</v>
      </c>
      <c r="AG16">
        <v>0.99929999999999997</v>
      </c>
      <c r="AH16">
        <v>0.99809999999999999</v>
      </c>
      <c r="AI16">
        <v>0.99609999999999999</v>
      </c>
      <c r="AJ16">
        <v>0.99350000000000005</v>
      </c>
      <c r="AK16">
        <v>0.99019999999999997</v>
      </c>
      <c r="AL16">
        <v>0.98619999999999997</v>
      </c>
      <c r="AM16">
        <v>0.98150000000000004</v>
      </c>
      <c r="AN16">
        <v>0.97619999999999996</v>
      </c>
      <c r="AO16">
        <v>0.97019999999999995</v>
      </c>
      <c r="AP16">
        <v>0.96350000000000002</v>
      </c>
      <c r="AQ16">
        <v>0.95620000000000005</v>
      </c>
      <c r="AR16">
        <v>0.94820000000000004</v>
      </c>
      <c r="AS16">
        <v>0.9395</v>
      </c>
      <c r="AT16">
        <v>0.93010000000000004</v>
      </c>
      <c r="AU16">
        <v>0.92</v>
      </c>
      <c r="AV16">
        <v>0.9093</v>
      </c>
      <c r="AW16">
        <v>0.8982</v>
      </c>
      <c r="AX16">
        <v>0.88719999999999999</v>
      </c>
      <c r="AY16">
        <v>0.87609999999999999</v>
      </c>
      <c r="AZ16">
        <v>0.86509999999999998</v>
      </c>
      <c r="BA16">
        <v>0.85399999999999998</v>
      </c>
      <c r="BB16">
        <v>0.84289999999999998</v>
      </c>
      <c r="BC16">
        <v>0.83189999999999997</v>
      </c>
      <c r="BD16">
        <v>0.82079999999999997</v>
      </c>
      <c r="BE16">
        <v>0.80979999999999996</v>
      </c>
      <c r="BF16">
        <v>0.79869999999999997</v>
      </c>
      <c r="BG16">
        <v>0.78759999999999997</v>
      </c>
      <c r="BH16">
        <v>0.77659999999999996</v>
      </c>
      <c r="BI16">
        <v>0.76549999999999996</v>
      </c>
      <c r="BJ16">
        <v>0.75449999999999995</v>
      </c>
      <c r="BK16">
        <v>0.74339999999999995</v>
      </c>
      <c r="BL16">
        <v>0.73229999999999995</v>
      </c>
      <c r="BM16">
        <v>0.72130000000000005</v>
      </c>
      <c r="BN16">
        <v>0.71020000000000005</v>
      </c>
      <c r="BO16">
        <v>0.69920000000000004</v>
      </c>
      <c r="BP16">
        <v>0.68810000000000004</v>
      </c>
      <c r="BQ16">
        <v>0.67700000000000005</v>
      </c>
      <c r="BR16">
        <v>0.66600000000000004</v>
      </c>
      <c r="BS16">
        <v>0.65490000000000004</v>
      </c>
      <c r="BT16">
        <v>0.64390000000000003</v>
      </c>
      <c r="BU16">
        <v>0.63280000000000003</v>
      </c>
      <c r="BV16">
        <v>0.62170000000000003</v>
      </c>
      <c r="BW16">
        <v>0.61029999999999995</v>
      </c>
      <c r="BX16">
        <v>0.59799999999999998</v>
      </c>
      <c r="BY16">
        <v>0.58499999999999996</v>
      </c>
      <c r="BZ16">
        <v>0.57110000000000005</v>
      </c>
      <c r="CA16">
        <v>0.55640000000000001</v>
      </c>
      <c r="CB16">
        <v>0.54100000000000004</v>
      </c>
      <c r="CC16">
        <v>0.52470000000000006</v>
      </c>
      <c r="CD16">
        <v>0.50770000000000004</v>
      </c>
      <c r="CE16">
        <v>0.48980000000000001</v>
      </c>
      <c r="CF16">
        <v>0.47110000000000002</v>
      </c>
      <c r="CG16">
        <v>0.45169999999999999</v>
      </c>
      <c r="CH16">
        <v>0.43140000000000001</v>
      </c>
      <c r="CI16">
        <v>0.41039999999999999</v>
      </c>
      <c r="CJ16">
        <v>0.38850000000000001</v>
      </c>
      <c r="CK16">
        <v>0.36580000000000001</v>
      </c>
      <c r="CL16">
        <v>0.34239999999999998</v>
      </c>
      <c r="CM16">
        <v>0.31809999999999999</v>
      </c>
      <c r="CN16">
        <v>0.29310000000000003</v>
      </c>
      <c r="CO16">
        <v>0.26719999999999999</v>
      </c>
      <c r="CP16">
        <v>0.24049999999999999</v>
      </c>
      <c r="CQ16">
        <v>0.21310000000000001</v>
      </c>
      <c r="CR16">
        <v>0.18479999999999999</v>
      </c>
      <c r="CS16">
        <v>0.15579999999999999</v>
      </c>
      <c r="CT16">
        <v>0.12590000000000001</v>
      </c>
      <c r="CU16">
        <v>9.5200000000000007E-2</v>
      </c>
      <c r="CV16">
        <v>6.3799999999999996E-2</v>
      </c>
    </row>
    <row r="17" spans="1:100" x14ac:dyDescent="0.2">
      <c r="A17" t="s">
        <v>64</v>
      </c>
      <c r="B17" t="s">
        <v>41</v>
      </c>
      <c r="C17" s="13">
        <v>50</v>
      </c>
      <c r="D17">
        <v>9780</v>
      </c>
      <c r="E17">
        <v>0.67700000000000005</v>
      </c>
      <c r="F17">
        <v>0.71030000000000004</v>
      </c>
      <c r="G17">
        <v>0.74180000000000001</v>
      </c>
      <c r="H17">
        <v>0.77139999999999997</v>
      </c>
      <c r="I17">
        <v>0.79920000000000002</v>
      </c>
      <c r="J17">
        <v>0.82530000000000003</v>
      </c>
      <c r="K17">
        <v>0.84940000000000004</v>
      </c>
      <c r="L17">
        <v>0.87180000000000002</v>
      </c>
      <c r="M17">
        <v>0.89239999999999997</v>
      </c>
      <c r="N17">
        <v>0.91110000000000002</v>
      </c>
      <c r="O17">
        <v>0.92800000000000005</v>
      </c>
      <c r="P17">
        <v>0.94399999999999995</v>
      </c>
      <c r="Q17">
        <v>0.96</v>
      </c>
      <c r="R17">
        <v>0.97440000000000004</v>
      </c>
      <c r="S17">
        <v>0.98560000000000003</v>
      </c>
      <c r="T17">
        <v>0.99360000000000004</v>
      </c>
      <c r="U17">
        <v>0.99839999999999995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0.99990000000000001</v>
      </c>
      <c r="AG17">
        <v>0.99929999999999997</v>
      </c>
      <c r="AH17">
        <v>0.99809999999999999</v>
      </c>
      <c r="AI17">
        <v>0.99609999999999999</v>
      </c>
      <c r="AJ17">
        <v>0.99350000000000005</v>
      </c>
      <c r="AK17">
        <v>0.99019999999999997</v>
      </c>
      <c r="AL17">
        <v>0.98619999999999997</v>
      </c>
      <c r="AM17">
        <v>0.98150000000000004</v>
      </c>
      <c r="AN17">
        <v>0.97619999999999996</v>
      </c>
      <c r="AO17">
        <v>0.97019999999999995</v>
      </c>
      <c r="AP17">
        <v>0.96350000000000002</v>
      </c>
      <c r="AQ17">
        <v>0.95620000000000005</v>
      </c>
      <c r="AR17">
        <v>0.94820000000000004</v>
      </c>
      <c r="AS17">
        <v>0.9395</v>
      </c>
      <c r="AT17">
        <v>0.93010000000000004</v>
      </c>
      <c r="AU17">
        <v>0.92</v>
      </c>
      <c r="AV17">
        <v>0.9093</v>
      </c>
      <c r="AW17">
        <v>0.8982</v>
      </c>
      <c r="AX17">
        <v>0.88719999999999999</v>
      </c>
      <c r="AY17">
        <v>0.87609999999999999</v>
      </c>
      <c r="AZ17">
        <v>0.86509999999999998</v>
      </c>
      <c r="BA17">
        <v>0.85399999999999998</v>
      </c>
      <c r="BB17">
        <v>0.84289999999999998</v>
      </c>
      <c r="BC17">
        <v>0.83189999999999997</v>
      </c>
      <c r="BD17">
        <v>0.82079999999999997</v>
      </c>
      <c r="BE17">
        <v>0.80979999999999996</v>
      </c>
      <c r="BF17">
        <v>0.79869999999999997</v>
      </c>
      <c r="BG17">
        <v>0.78759999999999997</v>
      </c>
      <c r="BH17">
        <v>0.77659999999999996</v>
      </c>
      <c r="BI17">
        <v>0.76549999999999996</v>
      </c>
      <c r="BJ17">
        <v>0.75449999999999995</v>
      </c>
      <c r="BK17">
        <v>0.74339999999999995</v>
      </c>
      <c r="BL17">
        <v>0.73229999999999995</v>
      </c>
      <c r="BM17">
        <v>0.72130000000000005</v>
      </c>
      <c r="BN17">
        <v>0.71020000000000005</v>
      </c>
      <c r="BO17">
        <v>0.69920000000000004</v>
      </c>
      <c r="BP17">
        <v>0.68810000000000004</v>
      </c>
      <c r="BQ17">
        <v>0.67700000000000005</v>
      </c>
      <c r="BR17">
        <v>0.66600000000000004</v>
      </c>
      <c r="BS17">
        <v>0.65490000000000004</v>
      </c>
      <c r="BT17">
        <v>0.64390000000000003</v>
      </c>
      <c r="BU17">
        <v>0.63280000000000003</v>
      </c>
      <c r="BV17">
        <v>0.62170000000000003</v>
      </c>
      <c r="BW17">
        <v>0.61029999999999995</v>
      </c>
      <c r="BX17">
        <v>0.59799999999999998</v>
      </c>
      <c r="BY17">
        <v>0.58499999999999996</v>
      </c>
      <c r="BZ17">
        <v>0.57110000000000005</v>
      </c>
      <c r="CA17">
        <v>0.55640000000000001</v>
      </c>
      <c r="CB17">
        <v>0.54100000000000004</v>
      </c>
      <c r="CC17">
        <v>0.52470000000000006</v>
      </c>
      <c r="CD17">
        <v>0.50770000000000004</v>
      </c>
      <c r="CE17">
        <v>0.48980000000000001</v>
      </c>
      <c r="CF17">
        <v>0.47110000000000002</v>
      </c>
      <c r="CG17">
        <v>0.45169999999999999</v>
      </c>
      <c r="CH17">
        <v>0.43140000000000001</v>
      </c>
      <c r="CI17">
        <v>0.41039999999999999</v>
      </c>
      <c r="CJ17">
        <v>0.38850000000000001</v>
      </c>
      <c r="CK17">
        <v>0.36580000000000001</v>
      </c>
      <c r="CL17">
        <v>0.34239999999999998</v>
      </c>
      <c r="CM17">
        <v>0.31809999999999999</v>
      </c>
      <c r="CN17">
        <v>0.29310000000000003</v>
      </c>
      <c r="CO17">
        <v>0.26719999999999999</v>
      </c>
      <c r="CP17">
        <v>0.24049999999999999</v>
      </c>
      <c r="CQ17">
        <v>0.21310000000000001</v>
      </c>
      <c r="CR17">
        <v>0.18479999999999999</v>
      </c>
      <c r="CS17">
        <v>0.15579999999999999</v>
      </c>
      <c r="CT17">
        <v>0.12590000000000001</v>
      </c>
      <c r="CU17">
        <v>9.5200000000000007E-2</v>
      </c>
      <c r="CV17">
        <v>6.3799999999999996E-2</v>
      </c>
    </row>
    <row r="18" spans="1:100" x14ac:dyDescent="0.2">
      <c r="A18" t="s">
        <v>65</v>
      </c>
      <c r="B18" t="s">
        <v>42</v>
      </c>
      <c r="C18" s="13">
        <v>80.467200000000005</v>
      </c>
      <c r="D18">
        <v>17760</v>
      </c>
      <c r="E18">
        <v>0.67700000000000005</v>
      </c>
      <c r="F18">
        <v>0.71030000000000004</v>
      </c>
      <c r="G18">
        <v>0.74180000000000001</v>
      </c>
      <c r="H18">
        <v>0.77139999999999997</v>
      </c>
      <c r="I18">
        <v>0.79920000000000002</v>
      </c>
      <c r="J18">
        <v>0.82530000000000003</v>
      </c>
      <c r="K18">
        <v>0.84940000000000004</v>
      </c>
      <c r="L18">
        <v>0.87180000000000002</v>
      </c>
      <c r="M18">
        <v>0.89239999999999997</v>
      </c>
      <c r="N18">
        <v>0.91110000000000002</v>
      </c>
      <c r="O18">
        <v>0.92800000000000005</v>
      </c>
      <c r="P18">
        <v>0.94399999999999995</v>
      </c>
      <c r="Q18">
        <v>0.96</v>
      </c>
      <c r="R18">
        <v>0.97440000000000004</v>
      </c>
      <c r="S18">
        <v>0.98560000000000003</v>
      </c>
      <c r="T18">
        <v>0.99360000000000004</v>
      </c>
      <c r="U18">
        <v>0.99839999999999995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0.99990000000000001</v>
      </c>
      <c r="AG18">
        <v>0.99929999999999997</v>
      </c>
      <c r="AH18">
        <v>0.99809999999999999</v>
      </c>
      <c r="AI18">
        <v>0.99609999999999999</v>
      </c>
      <c r="AJ18">
        <v>0.99350000000000005</v>
      </c>
      <c r="AK18">
        <v>0.99019999999999997</v>
      </c>
      <c r="AL18">
        <v>0.98619999999999997</v>
      </c>
      <c r="AM18">
        <v>0.98150000000000004</v>
      </c>
      <c r="AN18">
        <v>0.97619999999999996</v>
      </c>
      <c r="AO18">
        <v>0.97019999999999995</v>
      </c>
      <c r="AP18">
        <v>0.96350000000000002</v>
      </c>
      <c r="AQ18">
        <v>0.95620000000000005</v>
      </c>
      <c r="AR18">
        <v>0.94820000000000004</v>
      </c>
      <c r="AS18">
        <v>0.9395</v>
      </c>
      <c r="AT18">
        <v>0.93010000000000004</v>
      </c>
      <c r="AU18">
        <v>0.92</v>
      </c>
      <c r="AV18">
        <v>0.9093</v>
      </c>
      <c r="AW18">
        <v>0.8982</v>
      </c>
      <c r="AX18">
        <v>0.88719999999999999</v>
      </c>
      <c r="AY18">
        <v>0.87609999999999999</v>
      </c>
      <c r="AZ18">
        <v>0.86509999999999998</v>
      </c>
      <c r="BA18">
        <v>0.85399999999999998</v>
      </c>
      <c r="BB18">
        <v>0.84289999999999998</v>
      </c>
      <c r="BC18">
        <v>0.83189999999999997</v>
      </c>
      <c r="BD18">
        <v>0.82079999999999997</v>
      </c>
      <c r="BE18">
        <v>0.80979999999999996</v>
      </c>
      <c r="BF18">
        <v>0.79869999999999997</v>
      </c>
      <c r="BG18">
        <v>0.78759999999999997</v>
      </c>
      <c r="BH18">
        <v>0.77659999999999996</v>
      </c>
      <c r="BI18">
        <v>0.76549999999999996</v>
      </c>
      <c r="BJ18">
        <v>0.75449999999999995</v>
      </c>
      <c r="BK18">
        <v>0.74339999999999995</v>
      </c>
      <c r="BL18">
        <v>0.73229999999999995</v>
      </c>
      <c r="BM18">
        <v>0.72130000000000005</v>
      </c>
      <c r="BN18">
        <v>0.71020000000000005</v>
      </c>
      <c r="BO18">
        <v>0.69920000000000004</v>
      </c>
      <c r="BP18">
        <v>0.68810000000000004</v>
      </c>
      <c r="BQ18">
        <v>0.67700000000000005</v>
      </c>
      <c r="BR18">
        <v>0.66600000000000004</v>
      </c>
      <c r="BS18">
        <v>0.65490000000000004</v>
      </c>
      <c r="BT18">
        <v>0.64390000000000003</v>
      </c>
      <c r="BU18">
        <v>0.63280000000000003</v>
      </c>
      <c r="BV18">
        <v>0.62170000000000003</v>
      </c>
      <c r="BW18">
        <v>0.61029999999999995</v>
      </c>
      <c r="BX18">
        <v>0.59799999999999998</v>
      </c>
      <c r="BY18">
        <v>0.58499999999999996</v>
      </c>
      <c r="BZ18">
        <v>0.57110000000000005</v>
      </c>
      <c r="CA18">
        <v>0.55640000000000001</v>
      </c>
      <c r="CB18">
        <v>0.54100000000000004</v>
      </c>
      <c r="CC18">
        <v>0.52470000000000006</v>
      </c>
      <c r="CD18">
        <v>0.50770000000000004</v>
      </c>
      <c r="CE18">
        <v>0.48980000000000001</v>
      </c>
      <c r="CF18">
        <v>0.47110000000000002</v>
      </c>
      <c r="CG18">
        <v>0.45169999999999999</v>
      </c>
      <c r="CH18">
        <v>0.43140000000000001</v>
      </c>
      <c r="CI18">
        <v>0.41039999999999999</v>
      </c>
      <c r="CJ18">
        <v>0.38850000000000001</v>
      </c>
      <c r="CK18">
        <v>0.36580000000000001</v>
      </c>
      <c r="CL18">
        <v>0.34239999999999998</v>
      </c>
      <c r="CM18">
        <v>0.31809999999999999</v>
      </c>
      <c r="CN18">
        <v>0.29310000000000003</v>
      </c>
      <c r="CO18">
        <v>0.26719999999999999</v>
      </c>
      <c r="CP18">
        <v>0.24049999999999999</v>
      </c>
      <c r="CQ18">
        <v>0.21310000000000001</v>
      </c>
      <c r="CR18">
        <v>0.18479999999999999</v>
      </c>
      <c r="CS18">
        <v>0.15579999999999999</v>
      </c>
      <c r="CT18">
        <v>0.12590000000000001</v>
      </c>
      <c r="CU18">
        <v>9.5200000000000007E-2</v>
      </c>
      <c r="CV18">
        <v>6.3799999999999996E-2</v>
      </c>
    </row>
    <row r="19" spans="1:100" x14ac:dyDescent="0.2">
      <c r="A19" t="s">
        <v>66</v>
      </c>
      <c r="B19" t="s">
        <v>43</v>
      </c>
      <c r="C19" s="13">
        <v>100</v>
      </c>
      <c r="D19">
        <v>23590.999999999996</v>
      </c>
      <c r="E19">
        <v>0.67700000000000005</v>
      </c>
      <c r="F19">
        <v>0.71030000000000004</v>
      </c>
      <c r="G19">
        <v>0.74180000000000001</v>
      </c>
      <c r="H19">
        <v>0.77139999999999997</v>
      </c>
      <c r="I19">
        <v>0.79920000000000002</v>
      </c>
      <c r="J19">
        <v>0.82530000000000003</v>
      </c>
      <c r="K19">
        <v>0.84940000000000004</v>
      </c>
      <c r="L19">
        <v>0.87180000000000002</v>
      </c>
      <c r="M19">
        <v>0.89239999999999997</v>
      </c>
      <c r="N19">
        <v>0.91110000000000002</v>
      </c>
      <c r="O19">
        <v>0.92800000000000005</v>
      </c>
      <c r="P19">
        <v>0.94399999999999995</v>
      </c>
      <c r="Q19">
        <v>0.96</v>
      </c>
      <c r="R19">
        <v>0.97440000000000004</v>
      </c>
      <c r="S19">
        <v>0.98560000000000003</v>
      </c>
      <c r="T19">
        <v>0.99360000000000004</v>
      </c>
      <c r="U19">
        <v>0.99839999999999995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0.99990000000000001</v>
      </c>
      <c r="AG19">
        <v>0.99929999999999997</v>
      </c>
      <c r="AH19">
        <v>0.99809999999999999</v>
      </c>
      <c r="AI19">
        <v>0.99609999999999999</v>
      </c>
      <c r="AJ19">
        <v>0.99350000000000005</v>
      </c>
      <c r="AK19">
        <v>0.99019999999999997</v>
      </c>
      <c r="AL19">
        <v>0.98619999999999997</v>
      </c>
      <c r="AM19">
        <v>0.98150000000000004</v>
      </c>
      <c r="AN19">
        <v>0.97619999999999996</v>
      </c>
      <c r="AO19">
        <v>0.97019999999999995</v>
      </c>
      <c r="AP19">
        <v>0.96350000000000002</v>
      </c>
      <c r="AQ19">
        <v>0.95620000000000005</v>
      </c>
      <c r="AR19">
        <v>0.94820000000000004</v>
      </c>
      <c r="AS19">
        <v>0.9395</v>
      </c>
      <c r="AT19">
        <v>0.93010000000000004</v>
      </c>
      <c r="AU19">
        <v>0.92</v>
      </c>
      <c r="AV19">
        <v>0.9093</v>
      </c>
      <c r="AW19">
        <v>0.8982</v>
      </c>
      <c r="AX19">
        <v>0.88719999999999999</v>
      </c>
      <c r="AY19">
        <v>0.87609999999999999</v>
      </c>
      <c r="AZ19">
        <v>0.86509999999999998</v>
      </c>
      <c r="BA19">
        <v>0.85399999999999998</v>
      </c>
      <c r="BB19">
        <v>0.84289999999999998</v>
      </c>
      <c r="BC19">
        <v>0.83189999999999997</v>
      </c>
      <c r="BD19">
        <v>0.82079999999999997</v>
      </c>
      <c r="BE19">
        <v>0.80979999999999996</v>
      </c>
      <c r="BF19">
        <v>0.79869999999999997</v>
      </c>
      <c r="BG19">
        <v>0.78759999999999997</v>
      </c>
      <c r="BH19">
        <v>0.77659999999999996</v>
      </c>
      <c r="BI19">
        <v>0.76549999999999996</v>
      </c>
      <c r="BJ19">
        <v>0.75449999999999995</v>
      </c>
      <c r="BK19">
        <v>0.74339999999999995</v>
      </c>
      <c r="BL19">
        <v>0.73229999999999995</v>
      </c>
      <c r="BM19">
        <v>0.72130000000000005</v>
      </c>
      <c r="BN19">
        <v>0.71020000000000005</v>
      </c>
      <c r="BO19">
        <v>0.69920000000000004</v>
      </c>
      <c r="BP19">
        <v>0.68810000000000004</v>
      </c>
      <c r="BQ19">
        <v>0.67700000000000005</v>
      </c>
      <c r="BR19">
        <v>0.66600000000000004</v>
      </c>
      <c r="BS19">
        <v>0.65490000000000004</v>
      </c>
      <c r="BT19">
        <v>0.64390000000000003</v>
      </c>
      <c r="BU19">
        <v>0.63280000000000003</v>
      </c>
      <c r="BV19">
        <v>0.62170000000000003</v>
      </c>
      <c r="BW19">
        <v>0.61029999999999995</v>
      </c>
      <c r="BX19">
        <v>0.59799999999999998</v>
      </c>
      <c r="BY19">
        <v>0.58499999999999996</v>
      </c>
      <c r="BZ19">
        <v>0.57110000000000005</v>
      </c>
      <c r="CA19">
        <v>0.55640000000000001</v>
      </c>
      <c r="CB19">
        <v>0.54100000000000004</v>
      </c>
      <c r="CC19">
        <v>0.52470000000000006</v>
      </c>
      <c r="CD19">
        <v>0.50770000000000004</v>
      </c>
      <c r="CE19">
        <v>0.48980000000000001</v>
      </c>
      <c r="CF19">
        <v>0.47110000000000002</v>
      </c>
      <c r="CG19">
        <v>0.45169999999999999</v>
      </c>
      <c r="CH19">
        <v>0.43140000000000001</v>
      </c>
      <c r="CI19">
        <v>0.41039999999999999</v>
      </c>
      <c r="CJ19">
        <v>0.38850000000000001</v>
      </c>
      <c r="CK19">
        <v>0.36580000000000001</v>
      </c>
      <c r="CL19">
        <v>0.34239999999999998</v>
      </c>
      <c r="CM19">
        <v>0.31809999999999999</v>
      </c>
      <c r="CN19">
        <v>0.29310000000000003</v>
      </c>
      <c r="CO19">
        <v>0.26719999999999999</v>
      </c>
      <c r="CP19">
        <v>0.24049999999999999</v>
      </c>
      <c r="CQ19">
        <v>0.21310000000000001</v>
      </c>
      <c r="CR19">
        <v>0.18479999999999999</v>
      </c>
      <c r="CS19">
        <v>0.15579999999999999</v>
      </c>
      <c r="CT19">
        <v>0.12590000000000001</v>
      </c>
      <c r="CU19">
        <v>9.5200000000000007E-2</v>
      </c>
      <c r="CV19">
        <v>6.3799999999999996E-2</v>
      </c>
    </row>
    <row r="20" spans="1:100" x14ac:dyDescent="0.2">
      <c r="A20" t="s">
        <v>67</v>
      </c>
      <c r="B20" t="s">
        <v>44</v>
      </c>
      <c r="C20" s="13">
        <v>150</v>
      </c>
      <c r="D20">
        <v>39700</v>
      </c>
      <c r="E20">
        <v>0.67700000000000005</v>
      </c>
      <c r="F20">
        <v>0.71030000000000004</v>
      </c>
      <c r="G20">
        <v>0.74180000000000001</v>
      </c>
      <c r="H20">
        <v>0.77139999999999997</v>
      </c>
      <c r="I20">
        <v>0.79920000000000002</v>
      </c>
      <c r="J20">
        <v>0.82530000000000003</v>
      </c>
      <c r="K20">
        <v>0.84940000000000004</v>
      </c>
      <c r="L20">
        <v>0.87180000000000002</v>
      </c>
      <c r="M20">
        <v>0.89239999999999997</v>
      </c>
      <c r="N20">
        <v>0.91110000000000002</v>
      </c>
      <c r="O20">
        <v>0.92800000000000005</v>
      </c>
      <c r="P20">
        <v>0.94399999999999995</v>
      </c>
      <c r="Q20">
        <v>0.96</v>
      </c>
      <c r="R20">
        <v>0.97440000000000004</v>
      </c>
      <c r="S20">
        <v>0.98560000000000003</v>
      </c>
      <c r="T20">
        <v>0.99360000000000004</v>
      </c>
      <c r="U20">
        <v>0.99839999999999995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0.99990000000000001</v>
      </c>
      <c r="AG20">
        <v>0.99929999999999997</v>
      </c>
      <c r="AH20">
        <v>0.99809999999999999</v>
      </c>
      <c r="AI20">
        <v>0.99609999999999999</v>
      </c>
      <c r="AJ20">
        <v>0.99350000000000005</v>
      </c>
      <c r="AK20">
        <v>0.99019999999999997</v>
      </c>
      <c r="AL20">
        <v>0.98619999999999997</v>
      </c>
      <c r="AM20">
        <v>0.98150000000000004</v>
      </c>
      <c r="AN20">
        <v>0.97619999999999996</v>
      </c>
      <c r="AO20">
        <v>0.97019999999999995</v>
      </c>
      <c r="AP20">
        <v>0.96350000000000002</v>
      </c>
      <c r="AQ20">
        <v>0.95620000000000005</v>
      </c>
      <c r="AR20">
        <v>0.94820000000000004</v>
      </c>
      <c r="AS20">
        <v>0.9395</v>
      </c>
      <c r="AT20">
        <v>0.93010000000000004</v>
      </c>
      <c r="AU20">
        <v>0.92</v>
      </c>
      <c r="AV20">
        <v>0.9093</v>
      </c>
      <c r="AW20">
        <v>0.8982</v>
      </c>
      <c r="AX20">
        <v>0.88719999999999999</v>
      </c>
      <c r="AY20">
        <v>0.87609999999999999</v>
      </c>
      <c r="AZ20">
        <v>0.86509999999999998</v>
      </c>
      <c r="BA20">
        <v>0.85399999999999998</v>
      </c>
      <c r="BB20">
        <v>0.84289999999999998</v>
      </c>
      <c r="BC20">
        <v>0.83189999999999997</v>
      </c>
      <c r="BD20">
        <v>0.82079999999999997</v>
      </c>
      <c r="BE20">
        <v>0.80979999999999996</v>
      </c>
      <c r="BF20">
        <v>0.79869999999999997</v>
      </c>
      <c r="BG20">
        <v>0.78759999999999997</v>
      </c>
      <c r="BH20">
        <v>0.77659999999999996</v>
      </c>
      <c r="BI20">
        <v>0.76549999999999996</v>
      </c>
      <c r="BJ20">
        <v>0.75449999999999995</v>
      </c>
      <c r="BK20">
        <v>0.74339999999999995</v>
      </c>
      <c r="BL20">
        <v>0.73229999999999995</v>
      </c>
      <c r="BM20">
        <v>0.72130000000000005</v>
      </c>
      <c r="BN20">
        <v>0.71020000000000005</v>
      </c>
      <c r="BO20">
        <v>0.69920000000000004</v>
      </c>
      <c r="BP20">
        <v>0.68810000000000004</v>
      </c>
      <c r="BQ20">
        <v>0.67700000000000005</v>
      </c>
      <c r="BR20">
        <v>0.66600000000000004</v>
      </c>
      <c r="BS20">
        <v>0.65490000000000004</v>
      </c>
      <c r="BT20">
        <v>0.64390000000000003</v>
      </c>
      <c r="BU20">
        <v>0.63280000000000003</v>
      </c>
      <c r="BV20">
        <v>0.62170000000000003</v>
      </c>
      <c r="BW20">
        <v>0.61029999999999995</v>
      </c>
      <c r="BX20">
        <v>0.59799999999999998</v>
      </c>
      <c r="BY20">
        <v>0.58499999999999996</v>
      </c>
      <c r="BZ20">
        <v>0.57110000000000005</v>
      </c>
      <c r="CA20">
        <v>0.55640000000000001</v>
      </c>
      <c r="CB20">
        <v>0.54100000000000004</v>
      </c>
      <c r="CC20">
        <v>0.52470000000000006</v>
      </c>
      <c r="CD20">
        <v>0.50770000000000004</v>
      </c>
      <c r="CE20">
        <v>0.48980000000000001</v>
      </c>
      <c r="CF20">
        <v>0.47110000000000002</v>
      </c>
      <c r="CG20">
        <v>0.45169999999999999</v>
      </c>
      <c r="CH20">
        <v>0.43140000000000001</v>
      </c>
      <c r="CI20">
        <v>0.41039999999999999</v>
      </c>
      <c r="CJ20">
        <v>0.38850000000000001</v>
      </c>
      <c r="CK20">
        <v>0.36580000000000001</v>
      </c>
      <c r="CL20">
        <v>0.34239999999999998</v>
      </c>
      <c r="CM20">
        <v>0.31809999999999999</v>
      </c>
      <c r="CN20">
        <v>0.29310000000000003</v>
      </c>
      <c r="CO20">
        <v>0.26719999999999999</v>
      </c>
      <c r="CP20">
        <v>0.24049999999999999</v>
      </c>
      <c r="CQ20">
        <v>0.21310000000000001</v>
      </c>
      <c r="CR20">
        <v>0.18479999999999999</v>
      </c>
      <c r="CS20">
        <v>0.15579999999999999</v>
      </c>
      <c r="CT20">
        <v>0.12590000000000001</v>
      </c>
      <c r="CU20">
        <v>9.5200000000000007E-2</v>
      </c>
      <c r="CV20">
        <v>6.3799999999999996E-2</v>
      </c>
    </row>
    <row r="21" spans="1:100" x14ac:dyDescent="0.2">
      <c r="A21" t="s">
        <v>68</v>
      </c>
      <c r="B21" t="s">
        <v>45</v>
      </c>
      <c r="C21" s="13">
        <v>160.93440000000001</v>
      </c>
      <c r="D21">
        <v>43500</v>
      </c>
      <c r="E21">
        <v>0.67700000000000005</v>
      </c>
      <c r="F21">
        <v>0.71030000000000004</v>
      </c>
      <c r="G21">
        <v>0.74180000000000001</v>
      </c>
      <c r="H21">
        <v>0.77139999999999997</v>
      </c>
      <c r="I21">
        <v>0.79920000000000002</v>
      </c>
      <c r="J21">
        <v>0.82530000000000003</v>
      </c>
      <c r="K21">
        <v>0.84940000000000004</v>
      </c>
      <c r="L21">
        <v>0.87180000000000002</v>
      </c>
      <c r="M21">
        <v>0.89239999999999997</v>
      </c>
      <c r="N21">
        <v>0.91110000000000002</v>
      </c>
      <c r="O21">
        <v>0.92800000000000005</v>
      </c>
      <c r="P21">
        <v>0.94399999999999995</v>
      </c>
      <c r="Q21">
        <v>0.96</v>
      </c>
      <c r="R21">
        <v>0.97440000000000004</v>
      </c>
      <c r="S21">
        <v>0.98560000000000003</v>
      </c>
      <c r="T21">
        <v>0.99360000000000004</v>
      </c>
      <c r="U21">
        <v>0.99839999999999995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0.99990000000000001</v>
      </c>
      <c r="AG21">
        <v>0.99929999999999997</v>
      </c>
      <c r="AH21">
        <v>0.99809999999999999</v>
      </c>
      <c r="AI21">
        <v>0.99609999999999999</v>
      </c>
      <c r="AJ21">
        <v>0.99350000000000005</v>
      </c>
      <c r="AK21">
        <v>0.99019999999999997</v>
      </c>
      <c r="AL21">
        <v>0.98619999999999997</v>
      </c>
      <c r="AM21">
        <v>0.98150000000000004</v>
      </c>
      <c r="AN21">
        <v>0.97619999999999996</v>
      </c>
      <c r="AO21">
        <v>0.97019999999999995</v>
      </c>
      <c r="AP21">
        <v>0.96350000000000002</v>
      </c>
      <c r="AQ21">
        <v>0.95620000000000005</v>
      </c>
      <c r="AR21">
        <v>0.94820000000000004</v>
      </c>
      <c r="AS21">
        <v>0.9395</v>
      </c>
      <c r="AT21">
        <v>0.93010000000000004</v>
      </c>
      <c r="AU21">
        <v>0.92</v>
      </c>
      <c r="AV21">
        <v>0.9093</v>
      </c>
      <c r="AW21">
        <v>0.8982</v>
      </c>
      <c r="AX21">
        <v>0.88719999999999999</v>
      </c>
      <c r="AY21">
        <v>0.87609999999999999</v>
      </c>
      <c r="AZ21">
        <v>0.86509999999999998</v>
      </c>
      <c r="BA21">
        <v>0.85399999999999998</v>
      </c>
      <c r="BB21">
        <v>0.84289999999999998</v>
      </c>
      <c r="BC21">
        <v>0.83189999999999997</v>
      </c>
      <c r="BD21">
        <v>0.82079999999999997</v>
      </c>
      <c r="BE21">
        <v>0.80979999999999996</v>
      </c>
      <c r="BF21">
        <v>0.79869999999999997</v>
      </c>
      <c r="BG21">
        <v>0.78759999999999997</v>
      </c>
      <c r="BH21">
        <v>0.77659999999999996</v>
      </c>
      <c r="BI21">
        <v>0.76549999999999996</v>
      </c>
      <c r="BJ21">
        <v>0.75449999999999995</v>
      </c>
      <c r="BK21">
        <v>0.74339999999999995</v>
      </c>
      <c r="BL21">
        <v>0.73229999999999995</v>
      </c>
      <c r="BM21">
        <v>0.72130000000000005</v>
      </c>
      <c r="BN21">
        <v>0.71020000000000005</v>
      </c>
      <c r="BO21">
        <v>0.69920000000000004</v>
      </c>
      <c r="BP21">
        <v>0.68810000000000004</v>
      </c>
      <c r="BQ21">
        <v>0.67700000000000005</v>
      </c>
      <c r="BR21">
        <v>0.66600000000000004</v>
      </c>
      <c r="BS21">
        <v>0.65490000000000004</v>
      </c>
      <c r="BT21">
        <v>0.64390000000000003</v>
      </c>
      <c r="BU21">
        <v>0.63280000000000003</v>
      </c>
      <c r="BV21">
        <v>0.62170000000000003</v>
      </c>
      <c r="BW21">
        <v>0.61029999999999995</v>
      </c>
      <c r="BX21">
        <v>0.59799999999999998</v>
      </c>
      <c r="BY21">
        <v>0.58499999999999996</v>
      </c>
      <c r="BZ21">
        <v>0.57110000000000005</v>
      </c>
      <c r="CA21">
        <v>0.55640000000000001</v>
      </c>
      <c r="CB21">
        <v>0.54100000000000004</v>
      </c>
      <c r="CC21">
        <v>0.52470000000000006</v>
      </c>
      <c r="CD21">
        <v>0.50770000000000004</v>
      </c>
      <c r="CE21">
        <v>0.48980000000000001</v>
      </c>
      <c r="CF21">
        <v>0.47110000000000002</v>
      </c>
      <c r="CG21">
        <v>0.45169999999999999</v>
      </c>
      <c r="CH21">
        <v>0.43140000000000001</v>
      </c>
      <c r="CI21">
        <v>0.41039999999999999</v>
      </c>
      <c r="CJ21">
        <v>0.38850000000000001</v>
      </c>
      <c r="CK21">
        <v>0.36580000000000001</v>
      </c>
      <c r="CL21">
        <v>0.34239999999999998</v>
      </c>
      <c r="CM21">
        <v>0.31809999999999999</v>
      </c>
      <c r="CN21">
        <v>0.29310000000000003</v>
      </c>
      <c r="CO21">
        <v>0.26719999999999999</v>
      </c>
      <c r="CP21">
        <v>0.24049999999999999</v>
      </c>
      <c r="CQ21">
        <v>0.21310000000000001</v>
      </c>
      <c r="CR21">
        <v>0.18479999999999999</v>
      </c>
      <c r="CS21">
        <v>0.15579999999999999</v>
      </c>
      <c r="CT21">
        <v>0.12590000000000001</v>
      </c>
      <c r="CU21">
        <v>9.5200000000000007E-2</v>
      </c>
      <c r="CV21">
        <v>6.3799999999999996E-2</v>
      </c>
    </row>
    <row r="22" spans="1:100" x14ac:dyDescent="0.2">
      <c r="A22" t="s">
        <v>69</v>
      </c>
      <c r="B22" t="s">
        <v>46</v>
      </c>
      <c r="C22" s="13">
        <v>200</v>
      </c>
      <c r="D22">
        <v>57600</v>
      </c>
      <c r="E22">
        <v>0.67700000000000005</v>
      </c>
      <c r="F22">
        <v>0.71030000000000004</v>
      </c>
      <c r="G22">
        <v>0.74180000000000001</v>
      </c>
      <c r="H22">
        <v>0.77139999999999997</v>
      </c>
      <c r="I22">
        <v>0.79920000000000002</v>
      </c>
      <c r="J22">
        <v>0.82530000000000003</v>
      </c>
      <c r="K22">
        <v>0.84940000000000004</v>
      </c>
      <c r="L22">
        <v>0.87180000000000002</v>
      </c>
      <c r="M22">
        <v>0.89239999999999997</v>
      </c>
      <c r="N22">
        <v>0.91110000000000002</v>
      </c>
      <c r="O22">
        <v>0.92800000000000005</v>
      </c>
      <c r="P22">
        <v>0.94399999999999995</v>
      </c>
      <c r="Q22">
        <v>0.96</v>
      </c>
      <c r="R22">
        <v>0.97440000000000004</v>
      </c>
      <c r="S22">
        <v>0.98560000000000003</v>
      </c>
      <c r="T22">
        <v>0.99360000000000004</v>
      </c>
      <c r="U22">
        <v>0.99839999999999995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0.99990000000000001</v>
      </c>
      <c r="AG22">
        <v>0.99929999999999997</v>
      </c>
      <c r="AH22">
        <v>0.99809999999999999</v>
      </c>
      <c r="AI22">
        <v>0.99609999999999999</v>
      </c>
      <c r="AJ22">
        <v>0.99350000000000005</v>
      </c>
      <c r="AK22">
        <v>0.99019999999999997</v>
      </c>
      <c r="AL22">
        <v>0.98619999999999997</v>
      </c>
      <c r="AM22">
        <v>0.98150000000000004</v>
      </c>
      <c r="AN22">
        <v>0.97619999999999996</v>
      </c>
      <c r="AO22">
        <v>0.97019999999999995</v>
      </c>
      <c r="AP22">
        <v>0.96350000000000002</v>
      </c>
      <c r="AQ22">
        <v>0.95620000000000005</v>
      </c>
      <c r="AR22">
        <v>0.94820000000000004</v>
      </c>
      <c r="AS22">
        <v>0.9395</v>
      </c>
      <c r="AT22">
        <v>0.93010000000000004</v>
      </c>
      <c r="AU22">
        <v>0.92</v>
      </c>
      <c r="AV22">
        <v>0.9093</v>
      </c>
      <c r="AW22">
        <v>0.8982</v>
      </c>
      <c r="AX22">
        <v>0.88719999999999999</v>
      </c>
      <c r="AY22">
        <v>0.87609999999999999</v>
      </c>
      <c r="AZ22">
        <v>0.86509999999999998</v>
      </c>
      <c r="BA22">
        <v>0.85399999999999998</v>
      </c>
      <c r="BB22">
        <v>0.84289999999999998</v>
      </c>
      <c r="BC22">
        <v>0.83189999999999997</v>
      </c>
      <c r="BD22">
        <v>0.82079999999999997</v>
      </c>
      <c r="BE22">
        <v>0.80979999999999996</v>
      </c>
      <c r="BF22">
        <v>0.79869999999999997</v>
      </c>
      <c r="BG22">
        <v>0.78759999999999997</v>
      </c>
      <c r="BH22">
        <v>0.77659999999999996</v>
      </c>
      <c r="BI22">
        <v>0.76549999999999996</v>
      </c>
      <c r="BJ22">
        <v>0.75449999999999995</v>
      </c>
      <c r="BK22">
        <v>0.74339999999999995</v>
      </c>
      <c r="BL22">
        <v>0.73229999999999995</v>
      </c>
      <c r="BM22">
        <v>0.72130000000000005</v>
      </c>
      <c r="BN22">
        <v>0.71020000000000005</v>
      </c>
      <c r="BO22">
        <v>0.69920000000000004</v>
      </c>
      <c r="BP22">
        <v>0.68810000000000004</v>
      </c>
      <c r="BQ22">
        <v>0.67700000000000005</v>
      </c>
      <c r="BR22">
        <v>0.66600000000000004</v>
      </c>
      <c r="BS22">
        <v>0.65490000000000004</v>
      </c>
      <c r="BT22">
        <v>0.64390000000000003</v>
      </c>
      <c r="BU22">
        <v>0.63280000000000003</v>
      </c>
      <c r="BV22">
        <v>0.62170000000000003</v>
      </c>
      <c r="BW22">
        <v>0.61029999999999995</v>
      </c>
      <c r="BX22">
        <v>0.59799999999999998</v>
      </c>
      <c r="BY22">
        <v>0.58499999999999996</v>
      </c>
      <c r="BZ22">
        <v>0.57110000000000005</v>
      </c>
      <c r="CA22">
        <v>0.55640000000000001</v>
      </c>
      <c r="CB22">
        <v>0.54100000000000004</v>
      </c>
      <c r="CC22">
        <v>0.52470000000000006</v>
      </c>
      <c r="CD22">
        <v>0.50770000000000004</v>
      </c>
      <c r="CE22">
        <v>0.48980000000000001</v>
      </c>
      <c r="CF22">
        <v>0.47110000000000002</v>
      </c>
      <c r="CG22">
        <v>0.45169999999999999</v>
      </c>
      <c r="CH22">
        <v>0.43140000000000001</v>
      </c>
      <c r="CI22">
        <v>0.41039999999999999</v>
      </c>
      <c r="CJ22">
        <v>0.38850000000000001</v>
      </c>
      <c r="CK22">
        <v>0.36580000000000001</v>
      </c>
      <c r="CL22">
        <v>0.34239999999999998</v>
      </c>
      <c r="CM22">
        <v>0.31809999999999999</v>
      </c>
      <c r="CN22">
        <v>0.29310000000000003</v>
      </c>
      <c r="CO22">
        <v>0.26719999999999999</v>
      </c>
      <c r="CP22">
        <v>0.24049999999999999</v>
      </c>
      <c r="CQ22">
        <v>0.21310000000000001</v>
      </c>
      <c r="CR22">
        <v>0.18479999999999999</v>
      </c>
      <c r="CS22">
        <v>0.15579999999999999</v>
      </c>
      <c r="CT22">
        <v>0.12590000000000001</v>
      </c>
      <c r="CU22">
        <v>9.5200000000000007E-2</v>
      </c>
      <c r="CV22">
        <v>6.3799999999999996E-2</v>
      </c>
    </row>
    <row r="26" spans="1:100" x14ac:dyDescent="0.2">
      <c r="A26" t="s">
        <v>75</v>
      </c>
      <c r="C26" t="s">
        <v>77</v>
      </c>
      <c r="D26" t="s">
        <v>76</v>
      </c>
      <c r="E26" t="s">
        <v>82</v>
      </c>
      <c r="F26" s="9" t="s">
        <v>83</v>
      </c>
      <c r="G26" s="9" t="s">
        <v>84</v>
      </c>
      <c r="H26" s="9" t="s">
        <v>85</v>
      </c>
      <c r="I26" s="9" t="s">
        <v>86</v>
      </c>
      <c r="J26" s="9" t="s">
        <v>87</v>
      </c>
      <c r="K26" s="9" t="s">
        <v>88</v>
      </c>
      <c r="L26" s="9" t="s">
        <v>89</v>
      </c>
      <c r="M26" s="9" t="s">
        <v>90</v>
      </c>
      <c r="N26" s="9" t="s">
        <v>91</v>
      </c>
      <c r="O26" s="9" t="s">
        <v>92</v>
      </c>
      <c r="P26" s="9" t="s">
        <v>93</v>
      </c>
      <c r="Q26" s="9" t="s">
        <v>94</v>
      </c>
      <c r="R26" s="9" t="s">
        <v>95</v>
      </c>
      <c r="S26" s="9" t="s">
        <v>96</v>
      </c>
      <c r="T26" s="9" t="s">
        <v>97</v>
      </c>
      <c r="U26" s="9" t="s">
        <v>98</v>
      </c>
      <c r="V26" s="9" t="s">
        <v>99</v>
      </c>
      <c r="W26" s="9" t="s">
        <v>100</v>
      </c>
      <c r="X26" s="9" t="s">
        <v>101</v>
      </c>
      <c r="Y26" s="9" t="s">
        <v>102</v>
      </c>
      <c r="Z26" s="9" t="s">
        <v>103</v>
      </c>
      <c r="AA26" s="9" t="s">
        <v>104</v>
      </c>
      <c r="AB26" s="9" t="s">
        <v>105</v>
      </c>
      <c r="AC26" s="9" t="s">
        <v>106</v>
      </c>
      <c r="AD26" s="9" t="s">
        <v>107</v>
      </c>
      <c r="AE26" s="9" t="s">
        <v>108</v>
      </c>
      <c r="AF26" s="9" t="s">
        <v>109</v>
      </c>
      <c r="AG26" s="9" t="s">
        <v>110</v>
      </c>
      <c r="AH26" s="9" t="s">
        <v>111</v>
      </c>
      <c r="AI26" s="9" t="s">
        <v>112</v>
      </c>
      <c r="AJ26" s="9" t="s">
        <v>113</v>
      </c>
      <c r="AK26" s="9" t="s">
        <v>114</v>
      </c>
      <c r="AL26" s="9" t="s">
        <v>115</v>
      </c>
      <c r="AM26" s="9" t="s">
        <v>116</v>
      </c>
      <c r="AN26" s="9" t="s">
        <v>117</v>
      </c>
      <c r="AO26" s="9" t="s">
        <v>118</v>
      </c>
      <c r="AP26" s="9" t="s">
        <v>119</v>
      </c>
      <c r="AQ26" s="9" t="s">
        <v>120</v>
      </c>
      <c r="AR26" s="9" t="s">
        <v>121</v>
      </c>
      <c r="AS26" s="9" t="s">
        <v>122</v>
      </c>
      <c r="AT26" s="9" t="s">
        <v>123</v>
      </c>
      <c r="AU26" s="9" t="s">
        <v>124</v>
      </c>
      <c r="AV26" s="9" t="s">
        <v>125</v>
      </c>
      <c r="AW26" s="9" t="s">
        <v>126</v>
      </c>
      <c r="AX26" s="9" t="s">
        <v>127</v>
      </c>
      <c r="AY26" s="9" t="s">
        <v>128</v>
      </c>
      <c r="AZ26" s="9" t="s">
        <v>129</v>
      </c>
      <c r="BA26" s="9" t="s">
        <v>130</v>
      </c>
      <c r="BB26" s="9" t="s">
        <v>131</v>
      </c>
      <c r="BC26" s="9" t="s">
        <v>132</v>
      </c>
      <c r="BD26" s="9" t="s">
        <v>133</v>
      </c>
      <c r="BE26" s="9" t="s">
        <v>134</v>
      </c>
      <c r="BF26" s="9" t="s">
        <v>135</v>
      </c>
      <c r="BG26" s="9" t="s">
        <v>136</v>
      </c>
      <c r="BH26" s="9" t="s">
        <v>137</v>
      </c>
      <c r="BI26" s="9" t="s">
        <v>138</v>
      </c>
      <c r="BJ26" s="9" t="s">
        <v>139</v>
      </c>
      <c r="BK26" s="9" t="s">
        <v>140</v>
      </c>
      <c r="BL26" s="9" t="s">
        <v>141</v>
      </c>
      <c r="BM26" s="9" t="s">
        <v>142</v>
      </c>
      <c r="BN26" s="9" t="s">
        <v>143</v>
      </c>
      <c r="BO26" s="9" t="s">
        <v>144</v>
      </c>
      <c r="BP26" s="9" t="s">
        <v>145</v>
      </c>
      <c r="BQ26" s="9" t="s">
        <v>146</v>
      </c>
      <c r="BR26" s="9" t="s">
        <v>147</v>
      </c>
      <c r="BS26" s="9" t="s">
        <v>148</v>
      </c>
      <c r="BT26" s="9" t="s">
        <v>149</v>
      </c>
      <c r="BU26" s="9" t="s">
        <v>150</v>
      </c>
      <c r="BV26" s="9" t="s">
        <v>151</v>
      </c>
      <c r="BW26" s="9" t="s">
        <v>152</v>
      </c>
      <c r="BX26" s="9" t="s">
        <v>153</v>
      </c>
      <c r="BY26" s="9" t="s">
        <v>154</v>
      </c>
      <c r="BZ26" s="9" t="s">
        <v>155</v>
      </c>
      <c r="CA26" s="9" t="s">
        <v>156</v>
      </c>
      <c r="CB26" s="9" t="s">
        <v>157</v>
      </c>
      <c r="CC26" s="9" t="s">
        <v>158</v>
      </c>
      <c r="CD26" s="9" t="s">
        <v>159</v>
      </c>
      <c r="CE26" s="9" t="s">
        <v>160</v>
      </c>
      <c r="CF26" s="9" t="s">
        <v>161</v>
      </c>
      <c r="CG26" s="9" t="s">
        <v>162</v>
      </c>
      <c r="CH26" s="9" t="s">
        <v>163</v>
      </c>
      <c r="CI26" s="9" t="s">
        <v>164</v>
      </c>
      <c r="CJ26" s="9" t="s">
        <v>165</v>
      </c>
      <c r="CK26" s="9" t="s">
        <v>166</v>
      </c>
      <c r="CL26" s="9" t="s">
        <v>167</v>
      </c>
      <c r="CM26" s="9" t="s">
        <v>168</v>
      </c>
      <c r="CN26" s="9" t="s">
        <v>169</v>
      </c>
      <c r="CO26" s="9" t="s">
        <v>170</v>
      </c>
      <c r="CP26" s="9" t="s">
        <v>171</v>
      </c>
      <c r="CQ26" s="9" t="s">
        <v>172</v>
      </c>
      <c r="CR26" s="9" t="s">
        <v>173</v>
      </c>
      <c r="CS26" s="9" t="s">
        <v>174</v>
      </c>
      <c r="CT26" s="9" t="s">
        <v>175</v>
      </c>
      <c r="CU26" s="9" t="s">
        <v>176</v>
      </c>
      <c r="CV26" s="9" t="s">
        <v>177</v>
      </c>
    </row>
    <row r="27" spans="1:100" ht="15" x14ac:dyDescent="0.25">
      <c r="C27" s="12">
        <v>12.6</v>
      </c>
      <c r="D27" s="10">
        <f>ROUNDDOWN(D$29*(1+D$28),0)</f>
        <v>2592</v>
      </c>
      <c r="E27">
        <f>E$29+E28</f>
        <v>0.67957999999999996</v>
      </c>
      <c r="F27">
        <f t="shared" ref="F27:BQ27" si="0">F$29+F28</f>
        <v>0.71348</v>
      </c>
      <c r="G27">
        <f t="shared" si="0"/>
        <v>0.74558000000000002</v>
      </c>
      <c r="H27">
        <f t="shared" si="0"/>
        <v>0.77578000000000003</v>
      </c>
      <c r="I27">
        <f t="shared" si="0"/>
        <v>0.80418000000000001</v>
      </c>
      <c r="J27">
        <f t="shared" si="0"/>
        <v>0.83087999999999995</v>
      </c>
      <c r="K27">
        <f t="shared" si="0"/>
        <v>0.85558000000000001</v>
      </c>
      <c r="L27">
        <f t="shared" si="0"/>
        <v>0.87858000000000003</v>
      </c>
      <c r="M27">
        <f t="shared" si="0"/>
        <v>0.89977999999999991</v>
      </c>
      <c r="N27">
        <f t="shared" si="0"/>
        <v>0.91908000000000001</v>
      </c>
      <c r="O27">
        <f t="shared" si="0"/>
        <v>0.93657999999999997</v>
      </c>
      <c r="P27">
        <f t="shared" si="0"/>
        <v>0.95318000000000003</v>
      </c>
      <c r="Q27">
        <f t="shared" si="0"/>
        <v>0.96978000000000009</v>
      </c>
      <c r="R27">
        <f t="shared" si="0"/>
        <v>0.98410000000000009</v>
      </c>
      <c r="S27">
        <f t="shared" si="0"/>
        <v>0.99383999999999995</v>
      </c>
      <c r="T27">
        <f t="shared" si="0"/>
        <v>0.99907999999999997</v>
      </c>
      <c r="U27">
        <f t="shared" si="0"/>
        <v>1</v>
      </c>
      <c r="V27">
        <f t="shared" si="0"/>
        <v>1</v>
      </c>
      <c r="W27">
        <f t="shared" si="0"/>
        <v>1</v>
      </c>
      <c r="X27">
        <f t="shared" si="0"/>
        <v>1</v>
      </c>
      <c r="Y27">
        <f t="shared" si="0"/>
        <v>1</v>
      </c>
      <c r="Z27">
        <f t="shared" si="0"/>
        <v>1</v>
      </c>
      <c r="AA27">
        <f t="shared" si="0"/>
        <v>1</v>
      </c>
      <c r="AB27">
        <f t="shared" si="0"/>
        <v>0.99992000000000003</v>
      </c>
      <c r="AC27">
        <f t="shared" si="0"/>
        <v>0.99956</v>
      </c>
      <c r="AD27">
        <f t="shared" si="0"/>
        <v>0.99862000000000006</v>
      </c>
      <c r="AE27">
        <f t="shared" si="0"/>
        <v>0.99726000000000004</v>
      </c>
      <c r="AF27">
        <f t="shared" si="0"/>
        <v>0.99549999999999994</v>
      </c>
      <c r="AG27">
        <f t="shared" si="0"/>
        <v>0.99314000000000002</v>
      </c>
      <c r="AH27">
        <f t="shared" si="0"/>
        <v>0.99043999999999999</v>
      </c>
      <c r="AI27">
        <f t="shared" si="0"/>
        <v>0.98717999999999995</v>
      </c>
      <c r="AJ27">
        <f t="shared" si="0"/>
        <v>0.98349999999999993</v>
      </c>
      <c r="AK27">
        <f t="shared" si="0"/>
        <v>0.97931999999999997</v>
      </c>
      <c r="AL27">
        <f t="shared" si="0"/>
        <v>0.97464000000000006</v>
      </c>
      <c r="AM27">
        <f t="shared" si="0"/>
        <v>0.96953999999999996</v>
      </c>
      <c r="AN27">
        <f t="shared" si="0"/>
        <v>0.96394000000000002</v>
      </c>
      <c r="AO27">
        <f t="shared" si="0"/>
        <v>0.95791999999999999</v>
      </c>
      <c r="AP27">
        <f t="shared" si="0"/>
        <v>0.95141999999999993</v>
      </c>
      <c r="AQ27">
        <f t="shared" si="0"/>
        <v>0.94440000000000002</v>
      </c>
      <c r="AR27">
        <f t="shared" si="0"/>
        <v>0.93698000000000004</v>
      </c>
      <c r="AS27">
        <f t="shared" si="0"/>
        <v>0.92903999999999998</v>
      </c>
      <c r="AT27">
        <f t="shared" si="0"/>
        <v>0.92061999999999999</v>
      </c>
      <c r="AU27">
        <f t="shared" si="0"/>
        <v>0.91177999999999992</v>
      </c>
      <c r="AV27">
        <f t="shared" si="0"/>
        <v>0.90244000000000002</v>
      </c>
      <c r="AW27">
        <f t="shared" si="0"/>
        <v>0.89259999999999995</v>
      </c>
      <c r="AX27">
        <f t="shared" si="0"/>
        <v>0.88256000000000001</v>
      </c>
      <c r="AY27">
        <f t="shared" si="0"/>
        <v>0.87246000000000001</v>
      </c>
      <c r="AZ27">
        <f t="shared" si="0"/>
        <v>0.86242000000000008</v>
      </c>
      <c r="BA27">
        <f t="shared" si="0"/>
        <v>0.85229999999999995</v>
      </c>
      <c r="BB27">
        <f t="shared" si="0"/>
        <v>0.84226000000000001</v>
      </c>
      <c r="BC27">
        <f t="shared" si="0"/>
        <v>0.83213999999999999</v>
      </c>
      <c r="BD27">
        <f t="shared" si="0"/>
        <v>0.82210000000000005</v>
      </c>
      <c r="BE27">
        <f t="shared" si="0"/>
        <v>0.81198000000000004</v>
      </c>
      <c r="BF27">
        <f t="shared" si="0"/>
        <v>0.80193999999999999</v>
      </c>
      <c r="BG27">
        <f t="shared" si="0"/>
        <v>0.79182000000000008</v>
      </c>
      <c r="BH27">
        <f t="shared" si="0"/>
        <v>0.78178000000000003</v>
      </c>
      <c r="BI27">
        <f t="shared" si="0"/>
        <v>0.77168000000000003</v>
      </c>
      <c r="BJ27">
        <f t="shared" si="0"/>
        <v>0.76156000000000001</v>
      </c>
      <c r="BK27">
        <f t="shared" si="0"/>
        <v>0.75151999999999997</v>
      </c>
      <c r="BL27">
        <f t="shared" si="0"/>
        <v>0.74140000000000006</v>
      </c>
      <c r="BM27">
        <f t="shared" si="0"/>
        <v>0.73136000000000001</v>
      </c>
      <c r="BN27">
        <f t="shared" si="0"/>
        <v>0.72123999999999999</v>
      </c>
      <c r="BO27">
        <f t="shared" si="0"/>
        <v>0.71120000000000005</v>
      </c>
      <c r="BP27">
        <f t="shared" si="0"/>
        <v>0.70108000000000004</v>
      </c>
      <c r="BQ27">
        <f t="shared" si="0"/>
        <v>0.69103999999999999</v>
      </c>
      <c r="BR27">
        <f t="shared" ref="BR27:CV27" si="1">BR$29+BR28</f>
        <v>0.68093999999999999</v>
      </c>
      <c r="BS27">
        <f t="shared" si="1"/>
        <v>0.67090000000000005</v>
      </c>
      <c r="BT27">
        <f t="shared" si="1"/>
        <v>0.66078000000000003</v>
      </c>
      <c r="BU27">
        <f t="shared" si="1"/>
        <v>0.65073999999999999</v>
      </c>
      <c r="BV27">
        <f t="shared" si="1"/>
        <v>0.64061999999999997</v>
      </c>
      <c r="BW27">
        <f t="shared" si="1"/>
        <v>0.63058000000000003</v>
      </c>
      <c r="BX27">
        <f t="shared" si="1"/>
        <v>0.62028000000000005</v>
      </c>
      <c r="BY27">
        <f t="shared" si="1"/>
        <v>0.60919999999999996</v>
      </c>
      <c r="BZ27">
        <f t="shared" si="1"/>
        <v>0.59741999999999995</v>
      </c>
      <c r="CA27">
        <f t="shared" si="1"/>
        <v>0.58489999999999998</v>
      </c>
      <c r="CB27">
        <f t="shared" si="1"/>
        <v>0.57152000000000003</v>
      </c>
      <c r="CC27">
        <f t="shared" si="1"/>
        <v>0.55742000000000003</v>
      </c>
      <c r="CD27">
        <f t="shared" si="1"/>
        <v>0.54252</v>
      </c>
      <c r="CE27">
        <f t="shared" si="1"/>
        <v>0.52691999999999994</v>
      </c>
      <c r="CF27">
        <f t="shared" si="1"/>
        <v>0.51041999999999998</v>
      </c>
      <c r="CG27">
        <f t="shared" si="1"/>
        <v>0.49330000000000002</v>
      </c>
      <c r="CH27">
        <f t="shared" si="1"/>
        <v>0.4753</v>
      </c>
      <c r="CI27">
        <f t="shared" si="1"/>
        <v>0.45657999999999999</v>
      </c>
      <c r="CJ27">
        <f t="shared" si="1"/>
        <v>0.43706</v>
      </c>
      <c r="CK27">
        <f t="shared" si="1"/>
        <v>0.41676000000000002</v>
      </c>
      <c r="CL27">
        <f t="shared" si="1"/>
        <v>0.39573999999999998</v>
      </c>
      <c r="CM27">
        <f t="shared" si="1"/>
        <v>0.37384000000000001</v>
      </c>
      <c r="CN27">
        <f t="shared" si="1"/>
        <v>0.3513</v>
      </c>
      <c r="CO27">
        <f t="shared" si="1"/>
        <v>0.32788</v>
      </c>
      <c r="CP27">
        <f t="shared" si="1"/>
        <v>0.30374000000000001</v>
      </c>
      <c r="CQ27">
        <f t="shared" si="1"/>
        <v>0.27882000000000001</v>
      </c>
      <c r="CR27">
        <f t="shared" si="1"/>
        <v>0.25318000000000002</v>
      </c>
      <c r="CS27">
        <f t="shared" si="1"/>
        <v>0.22674</v>
      </c>
      <c r="CT27">
        <f t="shared" si="1"/>
        <v>0.19949999999999998</v>
      </c>
      <c r="CU27">
        <f t="shared" si="1"/>
        <v>0.17147999999999999</v>
      </c>
      <c r="CV27">
        <f t="shared" si="1"/>
        <v>0.14274000000000001</v>
      </c>
    </row>
    <row r="28" spans="1:100" ht="15" x14ac:dyDescent="0.25">
      <c r="C28" s="11" t="s">
        <v>80</v>
      </c>
      <c r="D28" s="10">
        <f>($C$27-$C$29)/($C$30-$C$29)</f>
        <v>0.19999999999999987</v>
      </c>
      <c r="E28">
        <f>(E$30-E$29)*$D$28</f>
        <v>-1.7200000000000093E-3</v>
      </c>
      <c r="F28">
        <f t="shared" ref="F28:BQ28" si="2">(F$30-F$29)*$D$28</f>
        <v>-1.6199999999999982E-3</v>
      </c>
      <c r="G28">
        <f t="shared" si="2"/>
        <v>-1.5199999999999871E-3</v>
      </c>
      <c r="H28">
        <f t="shared" si="2"/>
        <v>-1.4199999999999981E-3</v>
      </c>
      <c r="I28">
        <f t="shared" si="2"/>
        <v>-1.319999999999987E-3</v>
      </c>
      <c r="J28">
        <f t="shared" si="2"/>
        <v>-1.219999999999998E-3</v>
      </c>
      <c r="K28">
        <f t="shared" si="2"/>
        <v>-1.1200000000000092E-3</v>
      </c>
      <c r="L28">
        <f t="shared" si="2"/>
        <v>-1.0199999999999981E-3</v>
      </c>
      <c r="M28">
        <f t="shared" si="2"/>
        <v>-9.1999999999998691E-4</v>
      </c>
      <c r="N28">
        <f t="shared" si="2"/>
        <v>-8.2000000000002015E-4</v>
      </c>
      <c r="O28">
        <f t="shared" si="2"/>
        <v>-7.2000000000000904E-4</v>
      </c>
      <c r="P28">
        <f t="shared" si="2"/>
        <v>-6.1999999999999794E-4</v>
      </c>
      <c r="Q28">
        <f t="shared" si="2"/>
        <v>-5.2000000000000906E-4</v>
      </c>
      <c r="R28">
        <f t="shared" si="2"/>
        <v>-4.0000000000000007E-4</v>
      </c>
      <c r="S28">
        <f t="shared" si="2"/>
        <v>-2.5999999999999342E-4</v>
      </c>
      <c r="T28">
        <f t="shared" si="2"/>
        <v>-1.1999999999998671E-4</v>
      </c>
      <c r="U28">
        <f t="shared" si="2"/>
        <v>0</v>
      </c>
      <c r="V28">
        <f t="shared" si="2"/>
        <v>0</v>
      </c>
      <c r="W28">
        <f t="shared" si="2"/>
        <v>0</v>
      </c>
      <c r="X28">
        <f t="shared" si="2"/>
        <v>0</v>
      </c>
      <c r="Y28">
        <f t="shared" si="2"/>
        <v>0</v>
      </c>
      <c r="Z28">
        <f t="shared" si="2"/>
        <v>0</v>
      </c>
      <c r="AA28">
        <f t="shared" si="2"/>
        <v>0</v>
      </c>
      <c r="AB28">
        <f t="shared" si="2"/>
        <v>1.9999999999997786E-5</v>
      </c>
      <c r="AC28">
        <f t="shared" si="2"/>
        <v>5.9999999999993354E-5</v>
      </c>
      <c r="AD28">
        <f t="shared" si="2"/>
        <v>1.1999999999998671E-4</v>
      </c>
      <c r="AE28">
        <f t="shared" si="2"/>
        <v>1.6000000000000449E-4</v>
      </c>
      <c r="AF28">
        <f t="shared" si="2"/>
        <v>2.0000000000000004E-4</v>
      </c>
      <c r="AG28">
        <f t="shared" si="2"/>
        <v>2.3999999999999562E-4</v>
      </c>
      <c r="AH28">
        <f t="shared" si="2"/>
        <v>2.3999999999999562E-4</v>
      </c>
      <c r="AI28">
        <f t="shared" si="2"/>
        <v>2.7999999999999119E-4</v>
      </c>
      <c r="AJ28">
        <f t="shared" si="2"/>
        <v>3.000000000000112E-4</v>
      </c>
      <c r="AK28">
        <f t="shared" si="2"/>
        <v>3.2000000000000897E-4</v>
      </c>
      <c r="AL28">
        <f t="shared" si="2"/>
        <v>3.3999999999998452E-4</v>
      </c>
      <c r="AM28">
        <f t="shared" si="2"/>
        <v>3.4000000000000675E-4</v>
      </c>
      <c r="AN28">
        <f t="shared" si="2"/>
        <v>3.4000000000000675E-4</v>
      </c>
      <c r="AO28">
        <f t="shared" si="2"/>
        <v>3.2000000000000897E-4</v>
      </c>
      <c r="AP28">
        <f t="shared" si="2"/>
        <v>3.2000000000000897E-4</v>
      </c>
      <c r="AQ28">
        <f t="shared" si="2"/>
        <v>2.9999999999998897E-4</v>
      </c>
      <c r="AR28">
        <f t="shared" si="2"/>
        <v>2.8000000000001342E-4</v>
      </c>
      <c r="AS28">
        <f t="shared" si="2"/>
        <v>2.4000000000001781E-4</v>
      </c>
      <c r="AT28">
        <f t="shared" si="2"/>
        <v>2.1999999999999784E-4</v>
      </c>
      <c r="AU28">
        <f t="shared" si="2"/>
        <v>1.8000000000000226E-4</v>
      </c>
      <c r="AV28">
        <f t="shared" si="2"/>
        <v>1.4000000000000671E-4</v>
      </c>
      <c r="AW28">
        <f t="shared" si="2"/>
        <v>1.0000000000001113E-4</v>
      </c>
      <c r="AX28">
        <f t="shared" si="2"/>
        <v>6.000000000001556E-5</v>
      </c>
      <c r="AY28">
        <f t="shared" si="2"/>
        <v>6.000000000001556E-5</v>
      </c>
      <c r="AZ28">
        <f t="shared" si="2"/>
        <v>1.9999999999997786E-5</v>
      </c>
      <c r="BA28">
        <f t="shared" si="2"/>
        <v>0</v>
      </c>
      <c r="BB28">
        <f t="shared" si="2"/>
        <v>-4.0000000000017771E-5</v>
      </c>
      <c r="BC28">
        <f t="shared" si="2"/>
        <v>-6.000000000001556E-5</v>
      </c>
      <c r="BD28">
        <f t="shared" si="2"/>
        <v>-1.0000000000001113E-4</v>
      </c>
      <c r="BE28">
        <f t="shared" si="2"/>
        <v>-1.2000000000000891E-4</v>
      </c>
      <c r="BF28">
        <f t="shared" si="2"/>
        <v>-1.6000000000000449E-4</v>
      </c>
      <c r="BG28">
        <f t="shared" si="2"/>
        <v>-1.8000000000000226E-4</v>
      </c>
      <c r="BH28">
        <f t="shared" si="2"/>
        <v>-2.1999999999999784E-4</v>
      </c>
      <c r="BI28">
        <f t="shared" si="2"/>
        <v>-2.1999999999999784E-4</v>
      </c>
      <c r="BJ28">
        <f t="shared" si="2"/>
        <v>-2.3999999999999562E-4</v>
      </c>
      <c r="BK28">
        <f t="shared" si="2"/>
        <v>-2.8000000000001342E-4</v>
      </c>
      <c r="BL28">
        <f t="shared" si="2"/>
        <v>-3.000000000000112E-4</v>
      </c>
      <c r="BM28">
        <f t="shared" si="2"/>
        <v>-3.4000000000000675E-4</v>
      </c>
      <c r="BN28">
        <f t="shared" si="2"/>
        <v>-3.6000000000000452E-4</v>
      </c>
      <c r="BO28">
        <f t="shared" si="2"/>
        <v>-4.0000000000000007E-4</v>
      </c>
      <c r="BP28">
        <f t="shared" si="2"/>
        <v>-4.199999999999979E-4</v>
      </c>
      <c r="BQ28">
        <f t="shared" si="2"/>
        <v>-4.5999999999999345E-4</v>
      </c>
      <c r="BR28">
        <f t="shared" ref="BR28:CV28" si="3">(BR$30-BR$29)*$D$28</f>
        <v>-4.5999999999999345E-4</v>
      </c>
      <c r="BS28">
        <f t="shared" si="3"/>
        <v>-4.9999999999998906E-4</v>
      </c>
      <c r="BT28">
        <f t="shared" si="3"/>
        <v>-5.2000000000000906E-4</v>
      </c>
      <c r="BU28">
        <f t="shared" si="3"/>
        <v>-5.6000000000000461E-4</v>
      </c>
      <c r="BV28">
        <f t="shared" si="3"/>
        <v>-5.8000000000000239E-4</v>
      </c>
      <c r="BW28">
        <f t="shared" si="3"/>
        <v>-6.1999999999999794E-4</v>
      </c>
      <c r="BX28">
        <f t="shared" si="3"/>
        <v>-6.1999999999999794E-4</v>
      </c>
      <c r="BY28">
        <f t="shared" si="3"/>
        <v>-6.0000000000000016E-4</v>
      </c>
      <c r="BZ28">
        <f t="shared" si="3"/>
        <v>-5.8000000000000239E-4</v>
      </c>
      <c r="CA28">
        <f t="shared" si="3"/>
        <v>-6.0000000000000016E-4</v>
      </c>
      <c r="CB28">
        <f t="shared" si="3"/>
        <v>-5.8000000000000239E-4</v>
      </c>
      <c r="CC28">
        <f t="shared" si="3"/>
        <v>-5.8000000000000239E-4</v>
      </c>
      <c r="CD28">
        <f t="shared" si="3"/>
        <v>-5.8000000000000239E-4</v>
      </c>
      <c r="CE28">
        <f t="shared" si="3"/>
        <v>-5.8000000000000239E-4</v>
      </c>
      <c r="CF28">
        <f t="shared" si="3"/>
        <v>-5.8000000000000239E-4</v>
      </c>
      <c r="CG28">
        <f t="shared" si="3"/>
        <v>-6.0000000000000016E-4</v>
      </c>
      <c r="CH28">
        <f t="shared" si="3"/>
        <v>-6.0000000000000016E-4</v>
      </c>
      <c r="CI28">
        <f t="shared" si="3"/>
        <v>-6.1999999999999794E-4</v>
      </c>
      <c r="CJ28">
        <f t="shared" si="3"/>
        <v>-6.3999999999999572E-4</v>
      </c>
      <c r="CK28">
        <f t="shared" si="3"/>
        <v>-6.3999999999999572E-4</v>
      </c>
      <c r="CL28">
        <f t="shared" si="3"/>
        <v>-6.5999999999999349E-4</v>
      </c>
      <c r="CM28">
        <f t="shared" si="3"/>
        <v>-6.6000000000000466E-4</v>
      </c>
      <c r="CN28">
        <f t="shared" si="3"/>
        <v>-7.0000000000000021E-4</v>
      </c>
      <c r="CO28">
        <f t="shared" si="3"/>
        <v>-7.1999999999999799E-4</v>
      </c>
      <c r="CP28">
        <f t="shared" si="3"/>
        <v>-7.5999999999999354E-4</v>
      </c>
      <c r="CQ28">
        <f t="shared" si="3"/>
        <v>-7.8000000000000237E-4</v>
      </c>
      <c r="CR28">
        <f t="shared" si="3"/>
        <v>-8.1999999999999803E-4</v>
      </c>
      <c r="CS28">
        <f t="shared" si="3"/>
        <v>-8.5999999999999911E-4</v>
      </c>
      <c r="CT28">
        <f t="shared" si="3"/>
        <v>-9.0000000000000019E-4</v>
      </c>
      <c r="CU28">
        <f t="shared" si="3"/>
        <v>-9.1999999999999797E-4</v>
      </c>
      <c r="CV28">
        <f t="shared" si="3"/>
        <v>-9.5999999999999916E-4</v>
      </c>
    </row>
    <row r="29" spans="1:100" x14ac:dyDescent="0.2">
      <c r="B29" t="s">
        <v>78</v>
      </c>
      <c r="C29">
        <f>INDEX(C$2:C$22,MATCH(C$27,C$2:C$22,1),1)</f>
        <v>12</v>
      </c>
      <c r="D29">
        <f>INDEX(C$2:D$22,MATCH(C$27,C$2:C$22,1),2)</f>
        <v>2160</v>
      </c>
      <c r="E29">
        <f>INDEX(Table1[[dist(km)]:[100]],MATCH($C$27,Distances,1),E$26-2)</f>
        <v>0.68130000000000002</v>
      </c>
      <c r="F29">
        <f>INDEX(Table1[[dist(km)]:[100]],MATCH($C$27,Distances,1),F$26-2)</f>
        <v>0.71509999999999996</v>
      </c>
      <c r="G29">
        <f>INDEX(Table1[[dist(km)]:[100]],MATCH($C$27,Distances,1),G$26-2)</f>
        <v>0.74709999999999999</v>
      </c>
      <c r="H29">
        <f>INDEX(Table1[[dist(km)]:[100]],MATCH($C$27,Distances,1),H$26-2)</f>
        <v>0.7772</v>
      </c>
      <c r="I29">
        <f>INDEX(Table1[[dist(km)]:[100]],MATCH($C$27,Distances,1),I$26-2)</f>
        <v>0.80549999999999999</v>
      </c>
      <c r="J29">
        <f>INDEX(Table1[[dist(km)]:[100]],MATCH($C$27,Distances,1),J$26-2)</f>
        <v>0.83209999999999995</v>
      </c>
      <c r="K29">
        <f>INDEX(Table1[[dist(km)]:[100]],MATCH($C$27,Distances,1),K$26-2)</f>
        <v>0.85670000000000002</v>
      </c>
      <c r="L29">
        <f>INDEX(Table1[[dist(km)]:[100]],MATCH($C$27,Distances,1),L$26-2)</f>
        <v>0.87960000000000005</v>
      </c>
      <c r="M29">
        <f>INDEX(Table1[[dist(km)]:[100]],MATCH($C$27,Distances,1),M$26-2)</f>
        <v>0.90069999999999995</v>
      </c>
      <c r="N29">
        <f>INDEX(Table1[[dist(km)]:[100]],MATCH($C$27,Distances,1),N$26-2)</f>
        <v>0.91990000000000005</v>
      </c>
      <c r="O29">
        <f>INDEX(Table1[[dist(km)]:[100]],MATCH($C$27,Distances,1),O$26-2)</f>
        <v>0.93730000000000002</v>
      </c>
      <c r="P29">
        <f>INDEX(Table1[[dist(km)]:[100]],MATCH($C$27,Distances,1),P$26-2)</f>
        <v>0.95379999999999998</v>
      </c>
      <c r="Q29">
        <f>INDEX(Table1[[dist(km)]:[100]],MATCH($C$27,Distances,1),Q$26-2)</f>
        <v>0.97030000000000005</v>
      </c>
      <c r="R29">
        <f>INDEX(Table1[[dist(km)]:[100]],MATCH($C$27,Distances,1),R$26-2)</f>
        <v>0.98450000000000004</v>
      </c>
      <c r="S29">
        <f>INDEX(Table1[[dist(km)]:[100]],MATCH($C$27,Distances,1),S$26-2)</f>
        <v>0.99409999999999998</v>
      </c>
      <c r="T29">
        <f>INDEX(Table1[[dist(km)]:[100]],MATCH($C$27,Distances,1),T$26-2)</f>
        <v>0.99919999999999998</v>
      </c>
      <c r="U29">
        <f>INDEX(Table1[[dist(km)]:[100]],MATCH($C$27,Distances,1),U$26-2)</f>
        <v>1</v>
      </c>
      <c r="V29">
        <f>INDEX(Table1[[dist(km)]:[100]],MATCH($C$27,Distances,1),V$26-2)</f>
        <v>1</v>
      </c>
      <c r="W29">
        <f>INDEX(Table1[[dist(km)]:[100]],MATCH($C$27,Distances,1),W$26-2)</f>
        <v>1</v>
      </c>
      <c r="X29">
        <f>INDEX(Table1[[dist(km)]:[100]],MATCH($C$27,Distances,1),X$26-2)</f>
        <v>1</v>
      </c>
      <c r="Y29">
        <f>INDEX(Table1[[dist(km)]:[100]],MATCH($C$27,Distances,1),Y$26-2)</f>
        <v>1</v>
      </c>
      <c r="Z29">
        <f>INDEX(Table1[[dist(km)]:[100]],MATCH($C$27,Distances,1),Z$26-2)</f>
        <v>1</v>
      </c>
      <c r="AA29">
        <f>INDEX(Table1[[dist(km)]:[100]],MATCH($C$27,Distances,1),AA$26-2)</f>
        <v>1</v>
      </c>
      <c r="AB29">
        <f>INDEX(Table1[[dist(km)]:[100]],MATCH($C$27,Distances,1),AB$26-2)</f>
        <v>0.99990000000000001</v>
      </c>
      <c r="AC29">
        <f>INDEX(Table1[[dist(km)]:[100]],MATCH($C$27,Distances,1),AC$26-2)</f>
        <v>0.99950000000000006</v>
      </c>
      <c r="AD29">
        <f>INDEX(Table1[[dist(km)]:[100]],MATCH($C$27,Distances,1),AD$26-2)</f>
        <v>0.99850000000000005</v>
      </c>
      <c r="AE29">
        <f>INDEX(Table1[[dist(km)]:[100]],MATCH($C$27,Distances,1),AE$26-2)</f>
        <v>0.99709999999999999</v>
      </c>
      <c r="AF29">
        <f>INDEX(Table1[[dist(km)]:[100]],MATCH($C$27,Distances,1),AF$26-2)</f>
        <v>0.99529999999999996</v>
      </c>
      <c r="AG29">
        <f>INDEX(Table1[[dist(km)]:[100]],MATCH($C$27,Distances,1),AG$26-2)</f>
        <v>0.9929</v>
      </c>
      <c r="AH29">
        <f>INDEX(Table1[[dist(km)]:[100]],MATCH($C$27,Distances,1),AH$26-2)</f>
        <v>0.99019999999999997</v>
      </c>
      <c r="AI29">
        <f>INDEX(Table1[[dist(km)]:[100]],MATCH($C$27,Distances,1),AI$26-2)</f>
        <v>0.9869</v>
      </c>
      <c r="AJ29">
        <f>INDEX(Table1[[dist(km)]:[100]],MATCH($C$27,Distances,1),AJ$26-2)</f>
        <v>0.98319999999999996</v>
      </c>
      <c r="AK29">
        <f>INDEX(Table1[[dist(km)]:[100]],MATCH($C$27,Distances,1),AK$26-2)</f>
        <v>0.97899999999999998</v>
      </c>
      <c r="AL29">
        <f>INDEX(Table1[[dist(km)]:[100]],MATCH($C$27,Distances,1),AL$26-2)</f>
        <v>0.97430000000000005</v>
      </c>
      <c r="AM29">
        <f>INDEX(Table1[[dist(km)]:[100]],MATCH($C$27,Distances,1),AM$26-2)</f>
        <v>0.96919999999999995</v>
      </c>
      <c r="AN29">
        <f>INDEX(Table1[[dist(km)]:[100]],MATCH($C$27,Distances,1),AN$26-2)</f>
        <v>0.96360000000000001</v>
      </c>
      <c r="AO29">
        <f>INDEX(Table1[[dist(km)]:[100]],MATCH($C$27,Distances,1),AO$26-2)</f>
        <v>0.95760000000000001</v>
      </c>
      <c r="AP29">
        <f>INDEX(Table1[[dist(km)]:[100]],MATCH($C$27,Distances,1),AP$26-2)</f>
        <v>0.95109999999999995</v>
      </c>
      <c r="AQ29">
        <f>INDEX(Table1[[dist(km)]:[100]],MATCH($C$27,Distances,1),AQ$26-2)</f>
        <v>0.94410000000000005</v>
      </c>
      <c r="AR29">
        <f>INDEX(Table1[[dist(km)]:[100]],MATCH($C$27,Distances,1),AR$26-2)</f>
        <v>0.93669999999999998</v>
      </c>
      <c r="AS29">
        <f>INDEX(Table1[[dist(km)]:[100]],MATCH($C$27,Distances,1),AS$26-2)</f>
        <v>0.92879999999999996</v>
      </c>
      <c r="AT29">
        <f>INDEX(Table1[[dist(km)]:[100]],MATCH($C$27,Distances,1),AT$26-2)</f>
        <v>0.9204</v>
      </c>
      <c r="AU29">
        <f>INDEX(Table1[[dist(km)]:[100]],MATCH($C$27,Distances,1),AU$26-2)</f>
        <v>0.91159999999999997</v>
      </c>
      <c r="AV29">
        <f>INDEX(Table1[[dist(km)]:[100]],MATCH($C$27,Distances,1),AV$26-2)</f>
        <v>0.90229999999999999</v>
      </c>
      <c r="AW29">
        <f>INDEX(Table1[[dist(km)]:[100]],MATCH($C$27,Distances,1),AW$26-2)</f>
        <v>0.89249999999999996</v>
      </c>
      <c r="AX29">
        <f>INDEX(Table1[[dist(km)]:[100]],MATCH($C$27,Distances,1),AX$26-2)</f>
        <v>0.88249999999999995</v>
      </c>
      <c r="AY29">
        <f>INDEX(Table1[[dist(km)]:[100]],MATCH($C$27,Distances,1),AY$26-2)</f>
        <v>0.87239999999999995</v>
      </c>
      <c r="AZ29">
        <f>INDEX(Table1[[dist(km)]:[100]],MATCH($C$27,Distances,1),AZ$26-2)</f>
        <v>0.86240000000000006</v>
      </c>
      <c r="BA29">
        <f>INDEX(Table1[[dist(km)]:[100]],MATCH($C$27,Distances,1),BA$26-2)</f>
        <v>0.85229999999999995</v>
      </c>
      <c r="BB29">
        <f>INDEX(Table1[[dist(km)]:[100]],MATCH($C$27,Distances,1),BB$26-2)</f>
        <v>0.84230000000000005</v>
      </c>
      <c r="BC29">
        <f>INDEX(Table1[[dist(km)]:[100]],MATCH($C$27,Distances,1),BC$26-2)</f>
        <v>0.83220000000000005</v>
      </c>
      <c r="BD29">
        <f>INDEX(Table1[[dist(km)]:[100]],MATCH($C$27,Distances,1),BD$26-2)</f>
        <v>0.82220000000000004</v>
      </c>
      <c r="BE29">
        <f>INDEX(Table1[[dist(km)]:[100]],MATCH($C$27,Distances,1),BE$26-2)</f>
        <v>0.81210000000000004</v>
      </c>
      <c r="BF29">
        <f>INDEX(Table1[[dist(km)]:[100]],MATCH($C$27,Distances,1),BF$26-2)</f>
        <v>0.80210000000000004</v>
      </c>
      <c r="BG29">
        <f>INDEX(Table1[[dist(km)]:[100]],MATCH($C$27,Distances,1),BG$26-2)</f>
        <v>0.79200000000000004</v>
      </c>
      <c r="BH29">
        <f>INDEX(Table1[[dist(km)]:[100]],MATCH($C$27,Distances,1),BH$26-2)</f>
        <v>0.78200000000000003</v>
      </c>
      <c r="BI29">
        <f>INDEX(Table1[[dist(km)]:[100]],MATCH($C$27,Distances,1),BI$26-2)</f>
        <v>0.77190000000000003</v>
      </c>
      <c r="BJ29">
        <f>INDEX(Table1[[dist(km)]:[100]],MATCH($C$27,Distances,1),BJ$26-2)</f>
        <v>0.76180000000000003</v>
      </c>
      <c r="BK29">
        <f>INDEX(Table1[[dist(km)]:[100]],MATCH($C$27,Distances,1),BK$26-2)</f>
        <v>0.75180000000000002</v>
      </c>
      <c r="BL29">
        <f>INDEX(Table1[[dist(km)]:[100]],MATCH($C$27,Distances,1),BL$26-2)</f>
        <v>0.74170000000000003</v>
      </c>
      <c r="BM29">
        <f>INDEX(Table1[[dist(km)]:[100]],MATCH($C$27,Distances,1),BM$26-2)</f>
        <v>0.73170000000000002</v>
      </c>
      <c r="BN29">
        <f>INDEX(Table1[[dist(km)]:[100]],MATCH($C$27,Distances,1),BN$26-2)</f>
        <v>0.72160000000000002</v>
      </c>
      <c r="BO29">
        <f>INDEX(Table1[[dist(km)]:[100]],MATCH($C$27,Distances,1),BO$26-2)</f>
        <v>0.71160000000000001</v>
      </c>
      <c r="BP29">
        <f>INDEX(Table1[[dist(km)]:[100]],MATCH($C$27,Distances,1),BP$26-2)</f>
        <v>0.70150000000000001</v>
      </c>
      <c r="BQ29">
        <f>INDEX(Table1[[dist(km)]:[100]],MATCH($C$27,Distances,1),BQ$26-2)</f>
        <v>0.6915</v>
      </c>
      <c r="BR29">
        <f>INDEX(Table1[[dist(km)]:[100]],MATCH($C$27,Distances,1),BR$26-2)</f>
        <v>0.68140000000000001</v>
      </c>
      <c r="BS29">
        <f>INDEX(Table1[[dist(km)]:[100]],MATCH($C$27,Distances,1),BS$26-2)</f>
        <v>0.6714</v>
      </c>
      <c r="BT29">
        <f>INDEX(Table1[[dist(km)]:[100]],MATCH($C$27,Distances,1),BT$26-2)</f>
        <v>0.6613</v>
      </c>
      <c r="BU29">
        <f>INDEX(Table1[[dist(km)]:[100]],MATCH($C$27,Distances,1),BU$26-2)</f>
        <v>0.65129999999999999</v>
      </c>
      <c r="BV29">
        <f>INDEX(Table1[[dist(km)]:[100]],MATCH($C$27,Distances,1),BV$26-2)</f>
        <v>0.64119999999999999</v>
      </c>
      <c r="BW29">
        <f>INDEX(Table1[[dist(km)]:[100]],MATCH($C$27,Distances,1),BW$26-2)</f>
        <v>0.63119999999999998</v>
      </c>
      <c r="BX29">
        <f>INDEX(Table1[[dist(km)]:[100]],MATCH($C$27,Distances,1),BX$26-2)</f>
        <v>0.62090000000000001</v>
      </c>
      <c r="BY29">
        <f>INDEX(Table1[[dist(km)]:[100]],MATCH($C$27,Distances,1),BY$26-2)</f>
        <v>0.60980000000000001</v>
      </c>
      <c r="BZ29">
        <f>INDEX(Table1[[dist(km)]:[100]],MATCH($C$27,Distances,1),BZ$26-2)</f>
        <v>0.59799999999999998</v>
      </c>
      <c r="CA29">
        <f>INDEX(Table1[[dist(km)]:[100]],MATCH($C$27,Distances,1),CA$26-2)</f>
        <v>0.58550000000000002</v>
      </c>
      <c r="CB29">
        <f>INDEX(Table1[[dist(km)]:[100]],MATCH($C$27,Distances,1),CB$26-2)</f>
        <v>0.57210000000000005</v>
      </c>
      <c r="CC29">
        <f>INDEX(Table1[[dist(km)]:[100]],MATCH($C$27,Distances,1),CC$26-2)</f>
        <v>0.55800000000000005</v>
      </c>
      <c r="CD29">
        <f>INDEX(Table1[[dist(km)]:[100]],MATCH($C$27,Distances,1),CD$26-2)</f>
        <v>0.54310000000000003</v>
      </c>
      <c r="CE29">
        <f>INDEX(Table1[[dist(km)]:[100]],MATCH($C$27,Distances,1),CE$26-2)</f>
        <v>0.52749999999999997</v>
      </c>
      <c r="CF29">
        <f>INDEX(Table1[[dist(km)]:[100]],MATCH($C$27,Distances,1),CF$26-2)</f>
        <v>0.51100000000000001</v>
      </c>
      <c r="CG29">
        <f>INDEX(Table1[[dist(km)]:[100]],MATCH($C$27,Distances,1),CG$26-2)</f>
        <v>0.49390000000000001</v>
      </c>
      <c r="CH29">
        <f>INDEX(Table1[[dist(km)]:[100]],MATCH($C$27,Distances,1),CH$26-2)</f>
        <v>0.47589999999999999</v>
      </c>
      <c r="CI29">
        <f>INDEX(Table1[[dist(km)]:[100]],MATCH($C$27,Distances,1),CI$26-2)</f>
        <v>0.4572</v>
      </c>
      <c r="CJ29">
        <f>INDEX(Table1[[dist(km)]:[100]],MATCH($C$27,Distances,1),CJ$26-2)</f>
        <v>0.43769999999999998</v>
      </c>
      <c r="CK29">
        <f>INDEX(Table1[[dist(km)]:[100]],MATCH($C$27,Distances,1),CK$26-2)</f>
        <v>0.41739999999999999</v>
      </c>
      <c r="CL29">
        <f>INDEX(Table1[[dist(km)]:[100]],MATCH($C$27,Distances,1),CL$26-2)</f>
        <v>0.39639999999999997</v>
      </c>
      <c r="CM29">
        <f>INDEX(Table1[[dist(km)]:[100]],MATCH($C$27,Distances,1),CM$26-2)</f>
        <v>0.3745</v>
      </c>
      <c r="CN29">
        <f>INDEX(Table1[[dist(km)]:[100]],MATCH($C$27,Distances,1),CN$26-2)</f>
        <v>0.35199999999999998</v>
      </c>
      <c r="CO29">
        <f>INDEX(Table1[[dist(km)]:[100]],MATCH($C$27,Distances,1),CO$26-2)</f>
        <v>0.3286</v>
      </c>
      <c r="CP29">
        <f>INDEX(Table1[[dist(km)]:[100]],MATCH($C$27,Distances,1),CP$26-2)</f>
        <v>0.30449999999999999</v>
      </c>
      <c r="CQ29">
        <f>INDEX(Table1[[dist(km)]:[100]],MATCH($C$27,Distances,1),CQ$26-2)</f>
        <v>0.27960000000000002</v>
      </c>
      <c r="CR29">
        <f>INDEX(Table1[[dist(km)]:[100]],MATCH($C$27,Distances,1),CR$26-2)</f>
        <v>0.254</v>
      </c>
      <c r="CS29">
        <f>INDEX(Table1[[dist(km)]:[100]],MATCH($C$27,Distances,1),CS$26-2)</f>
        <v>0.2276</v>
      </c>
      <c r="CT29">
        <f>INDEX(Table1[[dist(km)]:[100]],MATCH($C$27,Distances,1),CT$26-2)</f>
        <v>0.20039999999999999</v>
      </c>
      <c r="CU29">
        <f>INDEX(Table1[[dist(km)]:[100]],MATCH($C$27,Distances,1),CU$26-2)</f>
        <v>0.1724</v>
      </c>
      <c r="CV29">
        <f>INDEX(Table1[[dist(km)]:[100]],MATCH($C$27,Distances,1),CV$26-2)</f>
        <v>0.14369999999999999</v>
      </c>
    </row>
    <row r="30" spans="1:100" x14ac:dyDescent="0.2">
      <c r="B30" t="s">
        <v>79</v>
      </c>
      <c r="C30">
        <f>INDEX(C$2:C$22,MATCH(C$27,C$2:C$22,1)+1,1)</f>
        <v>15</v>
      </c>
      <c r="D30">
        <f>INDEX(C$2:D$22,MATCH(C$27,C$2:C$22,1)+1,2)</f>
        <v>2735.0000000000005</v>
      </c>
      <c r="E30">
        <f>INDEX(Table1[[dist(km)]:[100]],MATCH($C$27,Distances,1)+1,E$26-2)</f>
        <v>0.67269999999999996</v>
      </c>
      <c r="F30">
        <f>INDEX(Table1[[dist(km)]:[100]],MATCH($C$27,Distances,1)+1,F$26-2)</f>
        <v>0.70699999999999996</v>
      </c>
      <c r="G30">
        <f>INDEX(Table1[[dist(km)]:[100]],MATCH($C$27,Distances,1)+1,G$26-2)</f>
        <v>0.73950000000000005</v>
      </c>
      <c r="H30">
        <f>INDEX(Table1[[dist(km)]:[100]],MATCH($C$27,Distances,1)+1,H$26-2)</f>
        <v>0.77010000000000001</v>
      </c>
      <c r="I30">
        <f>INDEX(Table1[[dist(km)]:[100]],MATCH($C$27,Distances,1)+1,I$26-2)</f>
        <v>0.79890000000000005</v>
      </c>
      <c r="J30">
        <f>INDEX(Table1[[dist(km)]:[100]],MATCH($C$27,Distances,1)+1,J$26-2)</f>
        <v>0.82599999999999996</v>
      </c>
      <c r="K30">
        <f>INDEX(Table1[[dist(km)]:[100]],MATCH($C$27,Distances,1)+1,K$26-2)</f>
        <v>0.85109999999999997</v>
      </c>
      <c r="L30">
        <f>INDEX(Table1[[dist(km)]:[100]],MATCH($C$27,Distances,1)+1,L$26-2)</f>
        <v>0.87450000000000006</v>
      </c>
      <c r="M30">
        <f>INDEX(Table1[[dist(km)]:[100]],MATCH($C$27,Distances,1)+1,M$26-2)</f>
        <v>0.89610000000000001</v>
      </c>
      <c r="N30">
        <f>INDEX(Table1[[dist(km)]:[100]],MATCH($C$27,Distances,1)+1,N$26-2)</f>
        <v>0.91579999999999995</v>
      </c>
      <c r="O30">
        <f>INDEX(Table1[[dist(km)]:[100]],MATCH($C$27,Distances,1)+1,O$26-2)</f>
        <v>0.93369999999999997</v>
      </c>
      <c r="P30">
        <f>INDEX(Table1[[dist(km)]:[100]],MATCH($C$27,Distances,1)+1,P$26-2)</f>
        <v>0.95069999999999999</v>
      </c>
      <c r="Q30">
        <f>INDEX(Table1[[dist(km)]:[100]],MATCH($C$27,Distances,1)+1,Q$26-2)</f>
        <v>0.9677</v>
      </c>
      <c r="R30">
        <f>INDEX(Table1[[dist(km)]:[100]],MATCH($C$27,Distances,1)+1,R$26-2)</f>
        <v>0.98250000000000004</v>
      </c>
      <c r="S30">
        <f>INDEX(Table1[[dist(km)]:[100]],MATCH($C$27,Distances,1)+1,S$26-2)</f>
        <v>0.99280000000000002</v>
      </c>
      <c r="T30">
        <f>INDEX(Table1[[dist(km)]:[100]],MATCH($C$27,Distances,1)+1,T$26-2)</f>
        <v>0.99860000000000004</v>
      </c>
      <c r="U30">
        <f>INDEX(Table1[[dist(km)]:[100]],MATCH($C$27,Distances,1)+1,U$26-2)</f>
        <v>1</v>
      </c>
      <c r="V30">
        <f>INDEX(Table1[[dist(km)]:[100]],MATCH($C$27,Distances,1)+1,V$26-2)</f>
        <v>1</v>
      </c>
      <c r="W30">
        <f>INDEX(Table1[[dist(km)]:[100]],MATCH($C$27,Distances,1)+1,W$26-2)</f>
        <v>1</v>
      </c>
      <c r="X30">
        <f>INDEX(Table1[[dist(km)]:[100]],MATCH($C$27,Distances,1)+1,X$26-2)</f>
        <v>1</v>
      </c>
      <c r="Y30">
        <f>INDEX(Table1[[dist(km)]:[100]],MATCH($C$27,Distances,1)+1,Y$26-2)</f>
        <v>1</v>
      </c>
      <c r="Z30">
        <f>INDEX(Table1[[dist(km)]:[100]],MATCH($C$27,Distances,1)+1,Z$26-2)</f>
        <v>1</v>
      </c>
      <c r="AA30">
        <f>INDEX(Table1[[dist(km)]:[100]],MATCH($C$27,Distances,1)+1,AA$26-2)</f>
        <v>1</v>
      </c>
      <c r="AB30">
        <f>INDEX(Table1[[dist(km)]:[100]],MATCH($C$27,Distances,1)+1,AB$26-2)</f>
        <v>1</v>
      </c>
      <c r="AC30">
        <f>INDEX(Table1[[dist(km)]:[100]],MATCH($C$27,Distances,1)+1,AC$26-2)</f>
        <v>0.99980000000000002</v>
      </c>
      <c r="AD30">
        <f>INDEX(Table1[[dist(km)]:[100]],MATCH($C$27,Distances,1)+1,AD$26-2)</f>
        <v>0.99909999999999999</v>
      </c>
      <c r="AE30">
        <f>INDEX(Table1[[dist(km)]:[100]],MATCH($C$27,Distances,1)+1,AE$26-2)</f>
        <v>0.99790000000000001</v>
      </c>
      <c r="AF30">
        <f>INDEX(Table1[[dist(km)]:[100]],MATCH($C$27,Distances,1)+1,AF$26-2)</f>
        <v>0.99629999999999996</v>
      </c>
      <c r="AG30">
        <f>INDEX(Table1[[dist(km)]:[100]],MATCH($C$27,Distances,1)+1,AG$26-2)</f>
        <v>0.99409999999999998</v>
      </c>
      <c r="AH30">
        <f>INDEX(Table1[[dist(km)]:[100]],MATCH($C$27,Distances,1)+1,AH$26-2)</f>
        <v>0.99139999999999995</v>
      </c>
      <c r="AI30">
        <f>INDEX(Table1[[dist(km)]:[100]],MATCH($C$27,Distances,1)+1,AI$26-2)</f>
        <v>0.98829999999999996</v>
      </c>
      <c r="AJ30">
        <f>INDEX(Table1[[dist(km)]:[100]],MATCH($C$27,Distances,1)+1,AJ$26-2)</f>
        <v>0.98470000000000002</v>
      </c>
      <c r="AK30">
        <f>INDEX(Table1[[dist(km)]:[100]],MATCH($C$27,Distances,1)+1,AK$26-2)</f>
        <v>0.98060000000000003</v>
      </c>
      <c r="AL30">
        <f>INDEX(Table1[[dist(km)]:[100]],MATCH($C$27,Distances,1)+1,AL$26-2)</f>
        <v>0.97599999999999998</v>
      </c>
      <c r="AM30">
        <f>INDEX(Table1[[dist(km)]:[100]],MATCH($C$27,Distances,1)+1,AM$26-2)</f>
        <v>0.97089999999999999</v>
      </c>
      <c r="AN30">
        <f>INDEX(Table1[[dist(km)]:[100]],MATCH($C$27,Distances,1)+1,AN$26-2)</f>
        <v>0.96530000000000005</v>
      </c>
      <c r="AO30">
        <f>INDEX(Table1[[dist(km)]:[100]],MATCH($C$27,Distances,1)+1,AO$26-2)</f>
        <v>0.95920000000000005</v>
      </c>
      <c r="AP30">
        <f>INDEX(Table1[[dist(km)]:[100]],MATCH($C$27,Distances,1)+1,AP$26-2)</f>
        <v>0.95269999999999999</v>
      </c>
      <c r="AQ30">
        <f>INDEX(Table1[[dist(km)]:[100]],MATCH($C$27,Distances,1)+1,AQ$26-2)</f>
        <v>0.9456</v>
      </c>
      <c r="AR30">
        <f>INDEX(Table1[[dist(km)]:[100]],MATCH($C$27,Distances,1)+1,AR$26-2)</f>
        <v>0.93810000000000004</v>
      </c>
      <c r="AS30">
        <f>INDEX(Table1[[dist(km)]:[100]],MATCH($C$27,Distances,1)+1,AS$26-2)</f>
        <v>0.93</v>
      </c>
      <c r="AT30">
        <f>INDEX(Table1[[dist(km)]:[100]],MATCH($C$27,Distances,1)+1,AT$26-2)</f>
        <v>0.92149999999999999</v>
      </c>
      <c r="AU30">
        <f>INDEX(Table1[[dist(km)]:[100]],MATCH($C$27,Distances,1)+1,AU$26-2)</f>
        <v>0.91249999999999998</v>
      </c>
      <c r="AV30">
        <f>INDEX(Table1[[dist(km)]:[100]],MATCH($C$27,Distances,1)+1,AV$26-2)</f>
        <v>0.90300000000000002</v>
      </c>
      <c r="AW30">
        <f>INDEX(Table1[[dist(km)]:[100]],MATCH($C$27,Distances,1)+1,AW$26-2)</f>
        <v>0.89300000000000002</v>
      </c>
      <c r="AX30">
        <f>INDEX(Table1[[dist(km)]:[100]],MATCH($C$27,Distances,1)+1,AX$26-2)</f>
        <v>0.88280000000000003</v>
      </c>
      <c r="AY30">
        <f>INDEX(Table1[[dist(km)]:[100]],MATCH($C$27,Distances,1)+1,AY$26-2)</f>
        <v>0.87270000000000003</v>
      </c>
      <c r="AZ30">
        <f>INDEX(Table1[[dist(km)]:[100]],MATCH($C$27,Distances,1)+1,AZ$26-2)</f>
        <v>0.86250000000000004</v>
      </c>
      <c r="BA30">
        <f>INDEX(Table1[[dist(km)]:[100]],MATCH($C$27,Distances,1)+1,BA$26-2)</f>
        <v>0.85229999999999995</v>
      </c>
      <c r="BB30">
        <f>INDEX(Table1[[dist(km)]:[100]],MATCH($C$27,Distances,1)+1,BB$26-2)</f>
        <v>0.84209999999999996</v>
      </c>
      <c r="BC30">
        <f>INDEX(Table1[[dist(km)]:[100]],MATCH($C$27,Distances,1)+1,BC$26-2)</f>
        <v>0.83189999999999997</v>
      </c>
      <c r="BD30">
        <f>INDEX(Table1[[dist(km)]:[100]],MATCH($C$27,Distances,1)+1,BD$26-2)</f>
        <v>0.82169999999999999</v>
      </c>
      <c r="BE30">
        <f>INDEX(Table1[[dist(km)]:[100]],MATCH($C$27,Distances,1)+1,BE$26-2)</f>
        <v>0.8115</v>
      </c>
      <c r="BF30">
        <f>INDEX(Table1[[dist(km)]:[100]],MATCH($C$27,Distances,1)+1,BF$26-2)</f>
        <v>0.80130000000000001</v>
      </c>
      <c r="BG30">
        <f>INDEX(Table1[[dist(km)]:[100]],MATCH($C$27,Distances,1)+1,BG$26-2)</f>
        <v>0.79110000000000003</v>
      </c>
      <c r="BH30">
        <f>INDEX(Table1[[dist(km)]:[100]],MATCH($C$27,Distances,1)+1,BH$26-2)</f>
        <v>0.78090000000000004</v>
      </c>
      <c r="BI30">
        <f>INDEX(Table1[[dist(km)]:[100]],MATCH($C$27,Distances,1)+1,BI$26-2)</f>
        <v>0.77080000000000004</v>
      </c>
      <c r="BJ30">
        <f>INDEX(Table1[[dist(km)]:[100]],MATCH($C$27,Distances,1)+1,BJ$26-2)</f>
        <v>0.76060000000000005</v>
      </c>
      <c r="BK30">
        <f>INDEX(Table1[[dist(km)]:[100]],MATCH($C$27,Distances,1)+1,BK$26-2)</f>
        <v>0.75039999999999996</v>
      </c>
      <c r="BL30">
        <f>INDEX(Table1[[dist(km)]:[100]],MATCH($C$27,Distances,1)+1,BL$26-2)</f>
        <v>0.74019999999999997</v>
      </c>
      <c r="BM30">
        <f>INDEX(Table1[[dist(km)]:[100]],MATCH($C$27,Distances,1)+1,BM$26-2)</f>
        <v>0.73</v>
      </c>
      <c r="BN30">
        <f>INDEX(Table1[[dist(km)]:[100]],MATCH($C$27,Distances,1)+1,BN$26-2)</f>
        <v>0.7198</v>
      </c>
      <c r="BO30">
        <f>INDEX(Table1[[dist(km)]:[100]],MATCH($C$27,Distances,1)+1,BO$26-2)</f>
        <v>0.70960000000000001</v>
      </c>
      <c r="BP30">
        <f>INDEX(Table1[[dist(km)]:[100]],MATCH($C$27,Distances,1)+1,BP$26-2)</f>
        <v>0.69940000000000002</v>
      </c>
      <c r="BQ30">
        <f>INDEX(Table1[[dist(km)]:[100]],MATCH($C$27,Distances,1)+1,BQ$26-2)</f>
        <v>0.68920000000000003</v>
      </c>
      <c r="BR30">
        <f>INDEX(Table1[[dist(km)]:[100]],MATCH($C$27,Distances,1)+1,BR$26-2)</f>
        <v>0.67910000000000004</v>
      </c>
      <c r="BS30">
        <f>INDEX(Table1[[dist(km)]:[100]],MATCH($C$27,Distances,1)+1,BS$26-2)</f>
        <v>0.66890000000000005</v>
      </c>
      <c r="BT30">
        <f>INDEX(Table1[[dist(km)]:[100]],MATCH($C$27,Distances,1)+1,BT$26-2)</f>
        <v>0.65869999999999995</v>
      </c>
      <c r="BU30">
        <f>INDEX(Table1[[dist(km)]:[100]],MATCH($C$27,Distances,1)+1,BU$26-2)</f>
        <v>0.64849999999999997</v>
      </c>
      <c r="BV30">
        <f>INDEX(Table1[[dist(km)]:[100]],MATCH($C$27,Distances,1)+1,BV$26-2)</f>
        <v>0.63829999999999998</v>
      </c>
      <c r="BW30">
        <f>INDEX(Table1[[dist(km)]:[100]],MATCH($C$27,Distances,1)+1,BW$26-2)</f>
        <v>0.62809999999999999</v>
      </c>
      <c r="BX30">
        <f>INDEX(Table1[[dist(km)]:[100]],MATCH($C$27,Distances,1)+1,BX$26-2)</f>
        <v>0.61780000000000002</v>
      </c>
      <c r="BY30">
        <f>INDEX(Table1[[dist(km)]:[100]],MATCH($C$27,Distances,1)+1,BY$26-2)</f>
        <v>0.60680000000000001</v>
      </c>
      <c r="BZ30">
        <f>INDEX(Table1[[dist(km)]:[100]],MATCH($C$27,Distances,1)+1,BZ$26-2)</f>
        <v>0.59509999999999996</v>
      </c>
      <c r="CA30">
        <f>INDEX(Table1[[dist(km)]:[100]],MATCH($C$27,Distances,1)+1,CA$26-2)</f>
        <v>0.58250000000000002</v>
      </c>
      <c r="CB30">
        <f>INDEX(Table1[[dist(km)]:[100]],MATCH($C$27,Distances,1)+1,CB$26-2)</f>
        <v>0.56920000000000004</v>
      </c>
      <c r="CC30">
        <f>INDEX(Table1[[dist(km)]:[100]],MATCH($C$27,Distances,1)+1,CC$26-2)</f>
        <v>0.55510000000000004</v>
      </c>
      <c r="CD30">
        <f>INDEX(Table1[[dist(km)]:[100]],MATCH($C$27,Distances,1)+1,CD$26-2)</f>
        <v>0.54020000000000001</v>
      </c>
      <c r="CE30">
        <f>INDEX(Table1[[dist(km)]:[100]],MATCH($C$27,Distances,1)+1,CE$26-2)</f>
        <v>0.52459999999999996</v>
      </c>
      <c r="CF30">
        <f>INDEX(Table1[[dist(km)]:[100]],MATCH($C$27,Distances,1)+1,CF$26-2)</f>
        <v>0.5081</v>
      </c>
      <c r="CG30">
        <f>INDEX(Table1[[dist(km)]:[100]],MATCH($C$27,Distances,1)+1,CG$26-2)</f>
        <v>0.4909</v>
      </c>
      <c r="CH30">
        <f>INDEX(Table1[[dist(km)]:[100]],MATCH($C$27,Distances,1)+1,CH$26-2)</f>
        <v>0.47289999999999999</v>
      </c>
      <c r="CI30">
        <f>INDEX(Table1[[dist(km)]:[100]],MATCH($C$27,Distances,1)+1,CI$26-2)</f>
        <v>0.4541</v>
      </c>
      <c r="CJ30">
        <f>INDEX(Table1[[dist(km)]:[100]],MATCH($C$27,Distances,1)+1,CJ$26-2)</f>
        <v>0.4345</v>
      </c>
      <c r="CK30">
        <f>INDEX(Table1[[dist(km)]:[100]],MATCH($C$27,Distances,1)+1,CK$26-2)</f>
        <v>0.41420000000000001</v>
      </c>
      <c r="CL30">
        <f>INDEX(Table1[[dist(km)]:[100]],MATCH($C$27,Distances,1)+1,CL$26-2)</f>
        <v>0.3931</v>
      </c>
      <c r="CM30">
        <f>INDEX(Table1[[dist(km)]:[100]],MATCH($C$27,Distances,1)+1,CM$26-2)</f>
        <v>0.37119999999999997</v>
      </c>
      <c r="CN30">
        <f>INDEX(Table1[[dist(km)]:[100]],MATCH($C$27,Distances,1)+1,CN$26-2)</f>
        <v>0.34849999999999998</v>
      </c>
      <c r="CO30">
        <f>INDEX(Table1[[dist(km)]:[100]],MATCH($C$27,Distances,1)+1,CO$26-2)</f>
        <v>0.32500000000000001</v>
      </c>
      <c r="CP30">
        <f>INDEX(Table1[[dist(km)]:[100]],MATCH($C$27,Distances,1)+1,CP$26-2)</f>
        <v>0.30070000000000002</v>
      </c>
      <c r="CQ30">
        <f>INDEX(Table1[[dist(km)]:[100]],MATCH($C$27,Distances,1)+1,CQ$26-2)</f>
        <v>0.2757</v>
      </c>
      <c r="CR30">
        <f>INDEX(Table1[[dist(km)]:[100]],MATCH($C$27,Distances,1)+1,CR$26-2)</f>
        <v>0.24990000000000001</v>
      </c>
      <c r="CS30">
        <f>INDEX(Table1[[dist(km)]:[100]],MATCH($C$27,Distances,1)+1,CS$26-2)</f>
        <v>0.2233</v>
      </c>
      <c r="CT30">
        <f>INDEX(Table1[[dist(km)]:[100]],MATCH($C$27,Distances,1)+1,CT$26-2)</f>
        <v>0.19589999999999999</v>
      </c>
      <c r="CU30">
        <f>INDEX(Table1[[dist(km)]:[100]],MATCH($C$27,Distances,1)+1,CU$26-2)</f>
        <v>0.1678</v>
      </c>
      <c r="CV30">
        <f>INDEX(Table1[[dist(km)]:[100]],MATCH($C$27,Distances,1)+1,CV$26-2)</f>
        <v>0.1389</v>
      </c>
    </row>
    <row r="34" spans="1:1" x14ac:dyDescent="0.2">
      <c r="A34" t="s">
        <v>179</v>
      </c>
    </row>
    <row r="35" spans="1:1" x14ac:dyDescent="0.2">
      <c r="A35" t="s">
        <v>181</v>
      </c>
    </row>
    <row r="36" spans="1:1" x14ac:dyDescent="0.2">
      <c r="A36" t="s">
        <v>182</v>
      </c>
    </row>
    <row r="37" spans="1:1" x14ac:dyDescent="0.2">
      <c r="A37" t="s">
        <v>183</v>
      </c>
    </row>
    <row r="38" spans="1:1" x14ac:dyDescent="0.2">
      <c r="A38" t="s">
        <v>184</v>
      </c>
    </row>
    <row r="39" spans="1:1" x14ac:dyDescent="0.2">
      <c r="A39" t="s">
        <v>185</v>
      </c>
    </row>
    <row r="40" spans="1:1" x14ac:dyDescent="0.2">
      <c r="A40" t="s">
        <v>186</v>
      </c>
    </row>
    <row r="41" spans="1:1" x14ac:dyDescent="0.2">
      <c r="A41" t="s">
        <v>187</v>
      </c>
    </row>
    <row r="42" spans="1:1" x14ac:dyDescent="0.2">
      <c r="A42" t="s">
        <v>188</v>
      </c>
    </row>
    <row r="43" spans="1:1" x14ac:dyDescent="0.2">
      <c r="A43" t="s">
        <v>189</v>
      </c>
    </row>
    <row r="44" spans="1:1" x14ac:dyDescent="0.2">
      <c r="A44" t="s">
        <v>190</v>
      </c>
    </row>
    <row r="45" spans="1:1" x14ac:dyDescent="0.2">
      <c r="A45" t="s">
        <v>191</v>
      </c>
    </row>
    <row r="46" spans="1:1" x14ac:dyDescent="0.2">
      <c r="A46" t="s">
        <v>192</v>
      </c>
    </row>
    <row r="47" spans="1:1" x14ac:dyDescent="0.2">
      <c r="A47" t="s">
        <v>193</v>
      </c>
    </row>
    <row r="48" spans="1:1" x14ac:dyDescent="0.2">
      <c r="A48" t="s">
        <v>194</v>
      </c>
    </row>
    <row r="49" spans="1:1" x14ac:dyDescent="0.2">
      <c r="A49" t="s">
        <v>195</v>
      </c>
    </row>
    <row r="50" spans="1:1" x14ac:dyDescent="0.2">
      <c r="A50" t="s">
        <v>196</v>
      </c>
    </row>
    <row r="51" spans="1:1" x14ac:dyDescent="0.2">
      <c r="A51" t="s">
        <v>197</v>
      </c>
    </row>
    <row r="52" spans="1:1" x14ac:dyDescent="0.2">
      <c r="A52" t="s">
        <v>198</v>
      </c>
    </row>
    <row r="53" spans="1:1" x14ac:dyDescent="0.2">
      <c r="A53" t="s">
        <v>199</v>
      </c>
    </row>
    <row r="54" spans="1:1" x14ac:dyDescent="0.2">
      <c r="A54" t="s">
        <v>200</v>
      </c>
    </row>
    <row r="55" spans="1:1" x14ac:dyDescent="0.2">
      <c r="A55" t="s">
        <v>201</v>
      </c>
    </row>
    <row r="56" spans="1:1" x14ac:dyDescent="0.2">
      <c r="A56" t="s">
        <v>202</v>
      </c>
    </row>
    <row r="57" spans="1:1" x14ac:dyDescent="0.2">
      <c r="A57" t="s">
        <v>203</v>
      </c>
    </row>
    <row r="58" spans="1:1" x14ac:dyDescent="0.2">
      <c r="A58" t="s">
        <v>204</v>
      </c>
    </row>
    <row r="59" spans="1:1" x14ac:dyDescent="0.2">
      <c r="A59" t="s">
        <v>205</v>
      </c>
    </row>
    <row r="60" spans="1:1" x14ac:dyDescent="0.2">
      <c r="A60" t="s">
        <v>206</v>
      </c>
    </row>
    <row r="61" spans="1:1" x14ac:dyDescent="0.2">
      <c r="A61" t="s">
        <v>207</v>
      </c>
    </row>
    <row r="62" spans="1:1" x14ac:dyDescent="0.2">
      <c r="A62" t="s">
        <v>208</v>
      </c>
    </row>
    <row r="63" spans="1:1" x14ac:dyDescent="0.2">
      <c r="A63" t="s">
        <v>209</v>
      </c>
    </row>
    <row r="64" spans="1:1" x14ac:dyDescent="0.2">
      <c r="A64" t="s">
        <v>210</v>
      </c>
    </row>
    <row r="65" spans="1:1" x14ac:dyDescent="0.2">
      <c r="A65" t="s">
        <v>211</v>
      </c>
    </row>
    <row r="66" spans="1:1" x14ac:dyDescent="0.2">
      <c r="A66" t="s">
        <v>212</v>
      </c>
    </row>
    <row r="67" spans="1:1" x14ac:dyDescent="0.2">
      <c r="A67" t="s">
        <v>213</v>
      </c>
    </row>
    <row r="68" spans="1:1" x14ac:dyDescent="0.2">
      <c r="A68" t="s">
        <v>214</v>
      </c>
    </row>
    <row r="69" spans="1:1" x14ac:dyDescent="0.2">
      <c r="A69" t="s">
        <v>215</v>
      </c>
    </row>
    <row r="70" spans="1:1" x14ac:dyDescent="0.2">
      <c r="A70" t="s">
        <v>216</v>
      </c>
    </row>
    <row r="71" spans="1:1" x14ac:dyDescent="0.2">
      <c r="A71" t="s">
        <v>217</v>
      </c>
    </row>
    <row r="72" spans="1:1" x14ac:dyDescent="0.2">
      <c r="A72" t="s">
        <v>218</v>
      </c>
    </row>
    <row r="73" spans="1:1" x14ac:dyDescent="0.2">
      <c r="A73" t="s">
        <v>219</v>
      </c>
    </row>
    <row r="74" spans="1:1" x14ac:dyDescent="0.2">
      <c r="A74" t="s">
        <v>220</v>
      </c>
    </row>
    <row r="75" spans="1:1" x14ac:dyDescent="0.2">
      <c r="A75" t="s">
        <v>221</v>
      </c>
    </row>
    <row r="76" spans="1:1" x14ac:dyDescent="0.2">
      <c r="A76" t="s">
        <v>222</v>
      </c>
    </row>
    <row r="77" spans="1:1" x14ac:dyDescent="0.2">
      <c r="A77" t="s">
        <v>223</v>
      </c>
    </row>
    <row r="78" spans="1:1" x14ac:dyDescent="0.2">
      <c r="A78" t="s">
        <v>224</v>
      </c>
    </row>
    <row r="79" spans="1:1" x14ac:dyDescent="0.2">
      <c r="A79" t="s">
        <v>225</v>
      </c>
    </row>
    <row r="80" spans="1:1" x14ac:dyDescent="0.2">
      <c r="A80" t="s">
        <v>226</v>
      </c>
    </row>
    <row r="81" spans="1:1" x14ac:dyDescent="0.2">
      <c r="A81" t="s">
        <v>227</v>
      </c>
    </row>
    <row r="82" spans="1:1" x14ac:dyDescent="0.2">
      <c r="A82" t="s">
        <v>228</v>
      </c>
    </row>
    <row r="83" spans="1:1" x14ac:dyDescent="0.2">
      <c r="A83" t="s">
        <v>229</v>
      </c>
    </row>
    <row r="84" spans="1:1" x14ac:dyDescent="0.2">
      <c r="A84" t="s">
        <v>230</v>
      </c>
    </row>
    <row r="85" spans="1:1" x14ac:dyDescent="0.2">
      <c r="A85" t="s">
        <v>231</v>
      </c>
    </row>
    <row r="86" spans="1:1" x14ac:dyDescent="0.2">
      <c r="A86" t="s">
        <v>232</v>
      </c>
    </row>
    <row r="87" spans="1:1" x14ac:dyDescent="0.2">
      <c r="A87" t="s">
        <v>233</v>
      </c>
    </row>
    <row r="88" spans="1:1" x14ac:dyDescent="0.2">
      <c r="A88" t="s">
        <v>234</v>
      </c>
    </row>
    <row r="89" spans="1:1" x14ac:dyDescent="0.2">
      <c r="A89" t="s">
        <v>235</v>
      </c>
    </row>
    <row r="90" spans="1:1" x14ac:dyDescent="0.2">
      <c r="A90" t="s">
        <v>236</v>
      </c>
    </row>
    <row r="91" spans="1:1" x14ac:dyDescent="0.2">
      <c r="A91" t="s">
        <v>237</v>
      </c>
    </row>
    <row r="92" spans="1:1" x14ac:dyDescent="0.2">
      <c r="A92" t="s">
        <v>238</v>
      </c>
    </row>
    <row r="93" spans="1:1" x14ac:dyDescent="0.2">
      <c r="A93" t="s">
        <v>239</v>
      </c>
    </row>
    <row r="94" spans="1:1" x14ac:dyDescent="0.2">
      <c r="A94" t="s">
        <v>240</v>
      </c>
    </row>
    <row r="95" spans="1:1" x14ac:dyDescent="0.2">
      <c r="A95" t="s">
        <v>241</v>
      </c>
    </row>
    <row r="96" spans="1:1" x14ac:dyDescent="0.2">
      <c r="A96" t="s">
        <v>242</v>
      </c>
    </row>
    <row r="97" spans="1:1" x14ac:dyDescent="0.2">
      <c r="A97" t="s">
        <v>243</v>
      </c>
    </row>
    <row r="98" spans="1:1" x14ac:dyDescent="0.2">
      <c r="A98" t="s">
        <v>244</v>
      </c>
    </row>
    <row r="99" spans="1:1" x14ac:dyDescent="0.2">
      <c r="A99" t="s">
        <v>245</v>
      </c>
    </row>
    <row r="100" spans="1:1" x14ac:dyDescent="0.2">
      <c r="A100" t="s">
        <v>246</v>
      </c>
    </row>
    <row r="101" spans="1:1" x14ac:dyDescent="0.2">
      <c r="A101" t="s">
        <v>247</v>
      </c>
    </row>
    <row r="102" spans="1:1" x14ac:dyDescent="0.2">
      <c r="A102" t="s">
        <v>248</v>
      </c>
    </row>
    <row r="103" spans="1:1" x14ac:dyDescent="0.2">
      <c r="A103" t="s">
        <v>249</v>
      </c>
    </row>
    <row r="104" spans="1:1" x14ac:dyDescent="0.2">
      <c r="A104" t="s">
        <v>250</v>
      </c>
    </row>
    <row r="105" spans="1:1" x14ac:dyDescent="0.2">
      <c r="A105" t="s">
        <v>251</v>
      </c>
    </row>
    <row r="106" spans="1:1" x14ac:dyDescent="0.2">
      <c r="A106" t="s">
        <v>252</v>
      </c>
    </row>
    <row r="107" spans="1:1" x14ac:dyDescent="0.2">
      <c r="A107" t="s">
        <v>253</v>
      </c>
    </row>
    <row r="108" spans="1:1" x14ac:dyDescent="0.2">
      <c r="A108" t="s">
        <v>254</v>
      </c>
    </row>
    <row r="109" spans="1:1" x14ac:dyDescent="0.2">
      <c r="A109" t="s">
        <v>255</v>
      </c>
    </row>
    <row r="110" spans="1:1" x14ac:dyDescent="0.2">
      <c r="A110" t="s">
        <v>256</v>
      </c>
    </row>
    <row r="111" spans="1:1" x14ac:dyDescent="0.2">
      <c r="A111" t="s">
        <v>257</v>
      </c>
    </row>
    <row r="112" spans="1:1" x14ac:dyDescent="0.2">
      <c r="A112" t="s">
        <v>258</v>
      </c>
    </row>
    <row r="113" spans="1:1" x14ac:dyDescent="0.2">
      <c r="A113" t="s">
        <v>259</v>
      </c>
    </row>
    <row r="114" spans="1:1" x14ac:dyDescent="0.2">
      <c r="A114" t="s">
        <v>260</v>
      </c>
    </row>
    <row r="115" spans="1:1" x14ac:dyDescent="0.2">
      <c r="A115" t="s">
        <v>261</v>
      </c>
    </row>
    <row r="116" spans="1:1" x14ac:dyDescent="0.2">
      <c r="A116" t="s">
        <v>262</v>
      </c>
    </row>
    <row r="117" spans="1:1" x14ac:dyDescent="0.2">
      <c r="A117" t="s">
        <v>263</v>
      </c>
    </row>
    <row r="118" spans="1:1" x14ac:dyDescent="0.2">
      <c r="A118" t="s">
        <v>264</v>
      </c>
    </row>
    <row r="119" spans="1:1" x14ac:dyDescent="0.2">
      <c r="A119" t="s">
        <v>265</v>
      </c>
    </row>
    <row r="120" spans="1:1" x14ac:dyDescent="0.2">
      <c r="A120" t="s">
        <v>266</v>
      </c>
    </row>
    <row r="121" spans="1:1" x14ac:dyDescent="0.2">
      <c r="A121" t="s">
        <v>267</v>
      </c>
    </row>
    <row r="122" spans="1:1" x14ac:dyDescent="0.2">
      <c r="A122" t="s">
        <v>268</v>
      </c>
    </row>
    <row r="123" spans="1:1" x14ac:dyDescent="0.2">
      <c r="A123" t="s">
        <v>269</v>
      </c>
    </row>
    <row r="124" spans="1:1" x14ac:dyDescent="0.2">
      <c r="A124" t="s">
        <v>270</v>
      </c>
    </row>
    <row r="125" spans="1:1" x14ac:dyDescent="0.2">
      <c r="A125" t="s">
        <v>271</v>
      </c>
    </row>
    <row r="126" spans="1:1" x14ac:dyDescent="0.2">
      <c r="A126" t="s">
        <v>272</v>
      </c>
    </row>
    <row r="127" spans="1:1" x14ac:dyDescent="0.2">
      <c r="A127" t="s">
        <v>273</v>
      </c>
    </row>
    <row r="128" spans="1:1" x14ac:dyDescent="0.2">
      <c r="A128" t="s">
        <v>274</v>
      </c>
    </row>
    <row r="129" spans="1:1" x14ac:dyDescent="0.2">
      <c r="A129" t="s">
        <v>275</v>
      </c>
    </row>
    <row r="130" spans="1:1" x14ac:dyDescent="0.2">
      <c r="A130" t="s">
        <v>276</v>
      </c>
    </row>
    <row r="131" spans="1:1" x14ac:dyDescent="0.2">
      <c r="A131" t="s">
        <v>277</v>
      </c>
    </row>
    <row r="132" spans="1:1" x14ac:dyDescent="0.2">
      <c r="A132" t="s">
        <v>278</v>
      </c>
    </row>
    <row r="133" spans="1:1" x14ac:dyDescent="0.2">
      <c r="A133" t="s">
        <v>279</v>
      </c>
    </row>
    <row r="134" spans="1:1" x14ac:dyDescent="0.2">
      <c r="A134" t="s">
        <v>280</v>
      </c>
    </row>
    <row r="135" spans="1:1" x14ac:dyDescent="0.2">
      <c r="A135" t="s">
        <v>281</v>
      </c>
    </row>
    <row r="136" spans="1:1" x14ac:dyDescent="0.2">
      <c r="A136" t="s">
        <v>282</v>
      </c>
    </row>
    <row r="137" spans="1:1" x14ac:dyDescent="0.2">
      <c r="A137" t="s">
        <v>283</v>
      </c>
    </row>
    <row r="138" spans="1:1" x14ac:dyDescent="0.2">
      <c r="A138" t="s">
        <v>284</v>
      </c>
    </row>
    <row r="139" spans="1:1" x14ac:dyDescent="0.2">
      <c r="A139" t="s">
        <v>285</v>
      </c>
    </row>
    <row r="140" spans="1:1" x14ac:dyDescent="0.2">
      <c r="A140" t="s">
        <v>286</v>
      </c>
    </row>
    <row r="141" spans="1:1" x14ac:dyDescent="0.2">
      <c r="A141" t="s">
        <v>287</v>
      </c>
    </row>
    <row r="142" spans="1:1" x14ac:dyDescent="0.2">
      <c r="A142" t="s">
        <v>288</v>
      </c>
    </row>
    <row r="143" spans="1:1" x14ac:dyDescent="0.2">
      <c r="A143" t="s">
        <v>289</v>
      </c>
    </row>
    <row r="144" spans="1:1" x14ac:dyDescent="0.2">
      <c r="A144" t="s">
        <v>290</v>
      </c>
    </row>
    <row r="145" spans="1:1" x14ac:dyDescent="0.2">
      <c r="A145" t="s">
        <v>291</v>
      </c>
    </row>
    <row r="146" spans="1:1" x14ac:dyDescent="0.2">
      <c r="A146" t="s">
        <v>292</v>
      </c>
    </row>
    <row r="147" spans="1:1" x14ac:dyDescent="0.2">
      <c r="A147" t="s">
        <v>293</v>
      </c>
    </row>
    <row r="148" spans="1:1" x14ac:dyDescent="0.2">
      <c r="A148" t="s">
        <v>294</v>
      </c>
    </row>
    <row r="149" spans="1:1" x14ac:dyDescent="0.2">
      <c r="A149" t="s">
        <v>295</v>
      </c>
    </row>
    <row r="150" spans="1:1" x14ac:dyDescent="0.2">
      <c r="A150" t="s">
        <v>296</v>
      </c>
    </row>
    <row r="151" spans="1:1" x14ac:dyDescent="0.2">
      <c r="A151" t="s">
        <v>297</v>
      </c>
    </row>
    <row r="152" spans="1:1" x14ac:dyDescent="0.2">
      <c r="A152" t="s">
        <v>298</v>
      </c>
    </row>
    <row r="153" spans="1:1" x14ac:dyDescent="0.2">
      <c r="A153" t="s">
        <v>299</v>
      </c>
    </row>
    <row r="154" spans="1:1" x14ac:dyDescent="0.2">
      <c r="A154" t="s">
        <v>300</v>
      </c>
    </row>
    <row r="155" spans="1:1" x14ac:dyDescent="0.2">
      <c r="A155" t="s">
        <v>301</v>
      </c>
    </row>
    <row r="156" spans="1:1" x14ac:dyDescent="0.2">
      <c r="A156" t="s">
        <v>302</v>
      </c>
    </row>
    <row r="157" spans="1:1" x14ac:dyDescent="0.2">
      <c r="A157" t="s">
        <v>303</v>
      </c>
    </row>
    <row r="158" spans="1:1" x14ac:dyDescent="0.2">
      <c r="A158" t="s">
        <v>304</v>
      </c>
    </row>
    <row r="159" spans="1:1" x14ac:dyDescent="0.2">
      <c r="A159" t="s">
        <v>305</v>
      </c>
    </row>
    <row r="160" spans="1:1" x14ac:dyDescent="0.2">
      <c r="A160" t="s">
        <v>306</v>
      </c>
    </row>
    <row r="161" spans="1:1" x14ac:dyDescent="0.2">
      <c r="A161" t="s">
        <v>307</v>
      </c>
    </row>
    <row r="162" spans="1:1" x14ac:dyDescent="0.2">
      <c r="A162" t="s">
        <v>308</v>
      </c>
    </row>
    <row r="163" spans="1:1" x14ac:dyDescent="0.2">
      <c r="A163" t="s">
        <v>309</v>
      </c>
    </row>
    <row r="164" spans="1:1" x14ac:dyDescent="0.2">
      <c r="A164" t="s">
        <v>310</v>
      </c>
    </row>
    <row r="165" spans="1:1" x14ac:dyDescent="0.2">
      <c r="A165" t="s">
        <v>311</v>
      </c>
    </row>
    <row r="166" spans="1:1" x14ac:dyDescent="0.2">
      <c r="A166" t="s">
        <v>312</v>
      </c>
    </row>
    <row r="167" spans="1:1" x14ac:dyDescent="0.2">
      <c r="A167" t="s">
        <v>313</v>
      </c>
    </row>
    <row r="168" spans="1:1" x14ac:dyDescent="0.2">
      <c r="A168" t="s">
        <v>314</v>
      </c>
    </row>
    <row r="169" spans="1:1" x14ac:dyDescent="0.2">
      <c r="A169" t="s">
        <v>315</v>
      </c>
    </row>
    <row r="170" spans="1:1" x14ac:dyDescent="0.2">
      <c r="A170" t="s">
        <v>316</v>
      </c>
    </row>
    <row r="171" spans="1:1" x14ac:dyDescent="0.2">
      <c r="A171" t="s">
        <v>317</v>
      </c>
    </row>
    <row r="172" spans="1:1" x14ac:dyDescent="0.2">
      <c r="A172" t="s">
        <v>318</v>
      </c>
    </row>
    <row r="173" spans="1:1" x14ac:dyDescent="0.2">
      <c r="A173" t="s">
        <v>319</v>
      </c>
    </row>
    <row r="174" spans="1:1" x14ac:dyDescent="0.2">
      <c r="A174" t="s">
        <v>320</v>
      </c>
    </row>
    <row r="175" spans="1:1" x14ac:dyDescent="0.2">
      <c r="A175" t="s">
        <v>321</v>
      </c>
    </row>
    <row r="176" spans="1:1" x14ac:dyDescent="0.2">
      <c r="A176" t="s">
        <v>322</v>
      </c>
    </row>
    <row r="177" spans="1:1" x14ac:dyDescent="0.2">
      <c r="A177" t="s">
        <v>323</v>
      </c>
    </row>
    <row r="178" spans="1:1" x14ac:dyDescent="0.2">
      <c r="A178" t="s">
        <v>324</v>
      </c>
    </row>
    <row r="179" spans="1:1" x14ac:dyDescent="0.2">
      <c r="A179" t="s">
        <v>325</v>
      </c>
    </row>
    <row r="180" spans="1:1" x14ac:dyDescent="0.2">
      <c r="A180" t="s">
        <v>326</v>
      </c>
    </row>
    <row r="181" spans="1:1" x14ac:dyDescent="0.2">
      <c r="A181" t="s">
        <v>327</v>
      </c>
    </row>
    <row r="182" spans="1:1" x14ac:dyDescent="0.2">
      <c r="A182" t="s">
        <v>328</v>
      </c>
    </row>
    <row r="183" spans="1:1" x14ac:dyDescent="0.2">
      <c r="A183" t="s">
        <v>329</v>
      </c>
    </row>
    <row r="184" spans="1:1" x14ac:dyDescent="0.2">
      <c r="A184" t="s">
        <v>330</v>
      </c>
    </row>
    <row r="185" spans="1:1" x14ac:dyDescent="0.2">
      <c r="A185" t="s">
        <v>331</v>
      </c>
    </row>
    <row r="186" spans="1:1" x14ac:dyDescent="0.2">
      <c r="A186" t="s">
        <v>332</v>
      </c>
    </row>
    <row r="187" spans="1:1" x14ac:dyDescent="0.2">
      <c r="A187" t="s">
        <v>333</v>
      </c>
    </row>
    <row r="188" spans="1:1" x14ac:dyDescent="0.2">
      <c r="A188" t="s">
        <v>334</v>
      </c>
    </row>
    <row r="189" spans="1:1" x14ac:dyDescent="0.2">
      <c r="A189" t="s">
        <v>335</v>
      </c>
    </row>
    <row r="190" spans="1:1" x14ac:dyDescent="0.2">
      <c r="A190" t="s">
        <v>336</v>
      </c>
    </row>
    <row r="191" spans="1:1" x14ac:dyDescent="0.2">
      <c r="A191" t="s">
        <v>337</v>
      </c>
    </row>
    <row r="192" spans="1:1" x14ac:dyDescent="0.2">
      <c r="A192" t="s">
        <v>338</v>
      </c>
    </row>
    <row r="193" spans="1:1" x14ac:dyDescent="0.2">
      <c r="A193" t="s">
        <v>339</v>
      </c>
    </row>
    <row r="194" spans="1:1" x14ac:dyDescent="0.2">
      <c r="A194" t="s">
        <v>340</v>
      </c>
    </row>
    <row r="195" spans="1:1" x14ac:dyDescent="0.2">
      <c r="A195" t="s">
        <v>341</v>
      </c>
    </row>
    <row r="196" spans="1:1" x14ac:dyDescent="0.2">
      <c r="A196" t="s">
        <v>342</v>
      </c>
    </row>
    <row r="197" spans="1:1" x14ac:dyDescent="0.2">
      <c r="A197" t="s">
        <v>343</v>
      </c>
    </row>
    <row r="198" spans="1:1" x14ac:dyDescent="0.2">
      <c r="A198" t="s">
        <v>344</v>
      </c>
    </row>
    <row r="199" spans="1:1" x14ac:dyDescent="0.2">
      <c r="A199" t="s">
        <v>345</v>
      </c>
    </row>
    <row r="200" spans="1:1" x14ac:dyDescent="0.2">
      <c r="A200" t="s">
        <v>346</v>
      </c>
    </row>
    <row r="201" spans="1:1" x14ac:dyDescent="0.2">
      <c r="A201" t="s">
        <v>347</v>
      </c>
    </row>
    <row r="202" spans="1:1" x14ac:dyDescent="0.2">
      <c r="A202" t="s">
        <v>348</v>
      </c>
    </row>
    <row r="203" spans="1:1" x14ac:dyDescent="0.2">
      <c r="A203" t="s">
        <v>349</v>
      </c>
    </row>
    <row r="204" spans="1:1" x14ac:dyDescent="0.2">
      <c r="A204" t="s">
        <v>350</v>
      </c>
    </row>
    <row r="205" spans="1:1" x14ac:dyDescent="0.2">
      <c r="A205" t="s">
        <v>351</v>
      </c>
    </row>
    <row r="206" spans="1:1" x14ac:dyDescent="0.2">
      <c r="A206" t="s">
        <v>352</v>
      </c>
    </row>
    <row r="207" spans="1:1" x14ac:dyDescent="0.2">
      <c r="A207" t="s">
        <v>353</v>
      </c>
    </row>
    <row r="208" spans="1:1" x14ac:dyDescent="0.2">
      <c r="A208" t="s">
        <v>354</v>
      </c>
    </row>
    <row r="209" spans="1:1" x14ac:dyDescent="0.2">
      <c r="A209" t="s">
        <v>355</v>
      </c>
    </row>
    <row r="210" spans="1:1" x14ac:dyDescent="0.2">
      <c r="A210" t="s">
        <v>356</v>
      </c>
    </row>
    <row r="211" spans="1:1" x14ac:dyDescent="0.2">
      <c r="A211" t="s">
        <v>357</v>
      </c>
    </row>
    <row r="212" spans="1:1" x14ac:dyDescent="0.2">
      <c r="A212" t="s">
        <v>358</v>
      </c>
    </row>
    <row r="213" spans="1:1" x14ac:dyDescent="0.2">
      <c r="A213" t="s">
        <v>359</v>
      </c>
    </row>
    <row r="214" spans="1:1" x14ac:dyDescent="0.2">
      <c r="A214" t="s">
        <v>360</v>
      </c>
    </row>
    <row r="215" spans="1:1" x14ac:dyDescent="0.2">
      <c r="A215" t="s">
        <v>361</v>
      </c>
    </row>
    <row r="216" spans="1:1" x14ac:dyDescent="0.2">
      <c r="A216" t="s">
        <v>362</v>
      </c>
    </row>
    <row r="217" spans="1:1" x14ac:dyDescent="0.2">
      <c r="A217" t="s">
        <v>363</v>
      </c>
    </row>
    <row r="218" spans="1:1" x14ac:dyDescent="0.2">
      <c r="A218" t="s">
        <v>364</v>
      </c>
    </row>
    <row r="219" spans="1:1" x14ac:dyDescent="0.2">
      <c r="A219" t="s">
        <v>365</v>
      </c>
    </row>
    <row r="220" spans="1:1" x14ac:dyDescent="0.2">
      <c r="A220" t="s">
        <v>366</v>
      </c>
    </row>
    <row r="221" spans="1:1" x14ac:dyDescent="0.2">
      <c r="A221" t="s">
        <v>367</v>
      </c>
    </row>
    <row r="222" spans="1:1" x14ac:dyDescent="0.2">
      <c r="A222" t="s">
        <v>368</v>
      </c>
    </row>
    <row r="223" spans="1:1" x14ac:dyDescent="0.2">
      <c r="A223" t="s">
        <v>369</v>
      </c>
    </row>
    <row r="224" spans="1:1" x14ac:dyDescent="0.2">
      <c r="A224" t="s">
        <v>370</v>
      </c>
    </row>
    <row r="225" spans="1:1" x14ac:dyDescent="0.2">
      <c r="A225" t="s">
        <v>371</v>
      </c>
    </row>
    <row r="226" spans="1:1" x14ac:dyDescent="0.2">
      <c r="A226" t="s">
        <v>372</v>
      </c>
    </row>
    <row r="227" spans="1:1" x14ac:dyDescent="0.2">
      <c r="A227" t="s">
        <v>373</v>
      </c>
    </row>
    <row r="228" spans="1:1" x14ac:dyDescent="0.2">
      <c r="A228" t="s">
        <v>374</v>
      </c>
    </row>
    <row r="229" spans="1:1" x14ac:dyDescent="0.2">
      <c r="A229" t="s">
        <v>375</v>
      </c>
    </row>
    <row r="230" spans="1:1" x14ac:dyDescent="0.2">
      <c r="A230" t="s">
        <v>376</v>
      </c>
    </row>
    <row r="231" spans="1:1" x14ac:dyDescent="0.2">
      <c r="A231" t="s">
        <v>377</v>
      </c>
    </row>
    <row r="232" spans="1:1" x14ac:dyDescent="0.2">
      <c r="A232" t="s">
        <v>378</v>
      </c>
    </row>
    <row r="233" spans="1:1" x14ac:dyDescent="0.2">
      <c r="A233" t="s">
        <v>379</v>
      </c>
    </row>
    <row r="234" spans="1:1" x14ac:dyDescent="0.2">
      <c r="A234" t="s">
        <v>380</v>
      </c>
    </row>
    <row r="235" spans="1:1" x14ac:dyDescent="0.2">
      <c r="A235" t="s">
        <v>381</v>
      </c>
    </row>
    <row r="236" spans="1:1" x14ac:dyDescent="0.2">
      <c r="A236" t="s">
        <v>382</v>
      </c>
    </row>
    <row r="237" spans="1:1" x14ac:dyDescent="0.2">
      <c r="A237" t="s">
        <v>383</v>
      </c>
    </row>
    <row r="238" spans="1:1" x14ac:dyDescent="0.2">
      <c r="A238" t="s">
        <v>384</v>
      </c>
    </row>
    <row r="239" spans="1:1" x14ac:dyDescent="0.2">
      <c r="A239" t="s">
        <v>385</v>
      </c>
    </row>
    <row r="240" spans="1:1" x14ac:dyDescent="0.2">
      <c r="A240" t="s">
        <v>386</v>
      </c>
    </row>
    <row r="241" spans="1:1" x14ac:dyDescent="0.2">
      <c r="A241" t="s">
        <v>387</v>
      </c>
    </row>
    <row r="242" spans="1:1" x14ac:dyDescent="0.2">
      <c r="A242" t="s">
        <v>388</v>
      </c>
    </row>
    <row r="243" spans="1:1" x14ac:dyDescent="0.2">
      <c r="A243" t="s">
        <v>389</v>
      </c>
    </row>
    <row r="244" spans="1:1" x14ac:dyDescent="0.2">
      <c r="A244" t="s">
        <v>390</v>
      </c>
    </row>
    <row r="245" spans="1:1" x14ac:dyDescent="0.2">
      <c r="A245" t="s">
        <v>391</v>
      </c>
    </row>
    <row r="246" spans="1:1" x14ac:dyDescent="0.2">
      <c r="A246" t="s">
        <v>392</v>
      </c>
    </row>
    <row r="247" spans="1:1" x14ac:dyDescent="0.2">
      <c r="A247" t="s">
        <v>393</v>
      </c>
    </row>
    <row r="248" spans="1:1" x14ac:dyDescent="0.2">
      <c r="A248" t="s">
        <v>394</v>
      </c>
    </row>
    <row r="249" spans="1:1" x14ac:dyDescent="0.2">
      <c r="A249" t="s">
        <v>395</v>
      </c>
    </row>
    <row r="250" spans="1:1" x14ac:dyDescent="0.2">
      <c r="A250" t="s">
        <v>396</v>
      </c>
    </row>
    <row r="251" spans="1:1" x14ac:dyDescent="0.2">
      <c r="A251" t="s">
        <v>397</v>
      </c>
    </row>
    <row r="252" spans="1:1" x14ac:dyDescent="0.2">
      <c r="A252" t="s">
        <v>398</v>
      </c>
    </row>
    <row r="253" spans="1:1" x14ac:dyDescent="0.2">
      <c r="A253" t="s">
        <v>399</v>
      </c>
    </row>
    <row r="254" spans="1:1" x14ac:dyDescent="0.2">
      <c r="A254" t="s">
        <v>400</v>
      </c>
    </row>
    <row r="255" spans="1:1" x14ac:dyDescent="0.2">
      <c r="A255" t="s">
        <v>401</v>
      </c>
    </row>
    <row r="256" spans="1:1" x14ac:dyDescent="0.2">
      <c r="A256" t="s">
        <v>402</v>
      </c>
    </row>
    <row r="257" spans="1:1" x14ac:dyDescent="0.2">
      <c r="A257" t="s">
        <v>403</v>
      </c>
    </row>
    <row r="258" spans="1:1" x14ac:dyDescent="0.2">
      <c r="A258" t="s">
        <v>404</v>
      </c>
    </row>
    <row r="259" spans="1:1" x14ac:dyDescent="0.2">
      <c r="A259" t="s">
        <v>405</v>
      </c>
    </row>
    <row r="260" spans="1:1" x14ac:dyDescent="0.2">
      <c r="A260" t="s">
        <v>406</v>
      </c>
    </row>
    <row r="261" spans="1:1" x14ac:dyDescent="0.2">
      <c r="A261" t="s">
        <v>407</v>
      </c>
    </row>
    <row r="262" spans="1:1" x14ac:dyDescent="0.2">
      <c r="A262" t="s">
        <v>408</v>
      </c>
    </row>
    <row r="263" spans="1:1" x14ac:dyDescent="0.2">
      <c r="A263" t="s">
        <v>409</v>
      </c>
    </row>
    <row r="264" spans="1:1" x14ac:dyDescent="0.2">
      <c r="A264" t="s">
        <v>410</v>
      </c>
    </row>
    <row r="265" spans="1:1" x14ac:dyDescent="0.2">
      <c r="A265" t="s">
        <v>411</v>
      </c>
    </row>
    <row r="266" spans="1:1" x14ac:dyDescent="0.2">
      <c r="A266" t="s">
        <v>412</v>
      </c>
    </row>
    <row r="267" spans="1:1" x14ac:dyDescent="0.2">
      <c r="A267" t="s">
        <v>413</v>
      </c>
    </row>
    <row r="268" spans="1:1" x14ac:dyDescent="0.2">
      <c r="A268" t="s">
        <v>414</v>
      </c>
    </row>
    <row r="269" spans="1:1" x14ac:dyDescent="0.2">
      <c r="A269" t="s">
        <v>415</v>
      </c>
    </row>
    <row r="270" spans="1:1" x14ac:dyDescent="0.2">
      <c r="A270" t="s">
        <v>416</v>
      </c>
    </row>
    <row r="271" spans="1:1" x14ac:dyDescent="0.2">
      <c r="A271" t="s">
        <v>417</v>
      </c>
    </row>
    <row r="272" spans="1:1" x14ac:dyDescent="0.2">
      <c r="A272" t="s">
        <v>418</v>
      </c>
    </row>
    <row r="273" spans="1:1" x14ac:dyDescent="0.2">
      <c r="A273" t="s">
        <v>419</v>
      </c>
    </row>
    <row r="274" spans="1:1" x14ac:dyDescent="0.2">
      <c r="A274" t="s">
        <v>420</v>
      </c>
    </row>
    <row r="275" spans="1:1" x14ac:dyDescent="0.2">
      <c r="A275" t="s">
        <v>421</v>
      </c>
    </row>
    <row r="276" spans="1:1" x14ac:dyDescent="0.2">
      <c r="A276" t="s">
        <v>422</v>
      </c>
    </row>
    <row r="277" spans="1:1" x14ac:dyDescent="0.2">
      <c r="A277" t="s">
        <v>423</v>
      </c>
    </row>
    <row r="278" spans="1:1" x14ac:dyDescent="0.2">
      <c r="A278" t="s">
        <v>424</v>
      </c>
    </row>
    <row r="279" spans="1:1" x14ac:dyDescent="0.2">
      <c r="A279" t="s">
        <v>425</v>
      </c>
    </row>
    <row r="280" spans="1:1" x14ac:dyDescent="0.2">
      <c r="A280" t="s">
        <v>426</v>
      </c>
    </row>
    <row r="281" spans="1:1" x14ac:dyDescent="0.2">
      <c r="A281" t="s">
        <v>427</v>
      </c>
    </row>
    <row r="282" spans="1:1" x14ac:dyDescent="0.2">
      <c r="A282" t="s">
        <v>428</v>
      </c>
    </row>
    <row r="283" spans="1:1" x14ac:dyDescent="0.2">
      <c r="A283" t="s">
        <v>429</v>
      </c>
    </row>
    <row r="284" spans="1:1" x14ac:dyDescent="0.2">
      <c r="A284" t="s">
        <v>430</v>
      </c>
    </row>
    <row r="285" spans="1:1" x14ac:dyDescent="0.2">
      <c r="A285" t="s">
        <v>431</v>
      </c>
    </row>
    <row r="286" spans="1:1" x14ac:dyDescent="0.2">
      <c r="A286" t="s">
        <v>432</v>
      </c>
    </row>
    <row r="287" spans="1:1" x14ac:dyDescent="0.2">
      <c r="A287" t="s">
        <v>433</v>
      </c>
    </row>
    <row r="288" spans="1:1" x14ac:dyDescent="0.2">
      <c r="A288" t="s">
        <v>434</v>
      </c>
    </row>
    <row r="289" spans="1:1" x14ac:dyDescent="0.2">
      <c r="A289" t="s">
        <v>435</v>
      </c>
    </row>
    <row r="290" spans="1:1" x14ac:dyDescent="0.2">
      <c r="A290" t="s">
        <v>436</v>
      </c>
    </row>
    <row r="291" spans="1:1" x14ac:dyDescent="0.2">
      <c r="A291" t="s">
        <v>437</v>
      </c>
    </row>
    <row r="292" spans="1:1" x14ac:dyDescent="0.2">
      <c r="A292" t="s">
        <v>438</v>
      </c>
    </row>
    <row r="293" spans="1:1" x14ac:dyDescent="0.2">
      <c r="A293" t="s">
        <v>439</v>
      </c>
    </row>
    <row r="294" spans="1:1" x14ac:dyDescent="0.2">
      <c r="A294" t="s">
        <v>440</v>
      </c>
    </row>
    <row r="295" spans="1:1" x14ac:dyDescent="0.2">
      <c r="A295" t="s">
        <v>441</v>
      </c>
    </row>
    <row r="296" spans="1:1" x14ac:dyDescent="0.2">
      <c r="A296" t="s">
        <v>442</v>
      </c>
    </row>
    <row r="297" spans="1:1" x14ac:dyDescent="0.2">
      <c r="A297" t="s">
        <v>443</v>
      </c>
    </row>
    <row r="298" spans="1:1" x14ac:dyDescent="0.2">
      <c r="A298" t="s">
        <v>444</v>
      </c>
    </row>
    <row r="299" spans="1:1" x14ac:dyDescent="0.2">
      <c r="A299" t="s">
        <v>445</v>
      </c>
    </row>
    <row r="300" spans="1:1" x14ac:dyDescent="0.2">
      <c r="A300" t="s">
        <v>446</v>
      </c>
    </row>
    <row r="301" spans="1:1" x14ac:dyDescent="0.2">
      <c r="A301" t="s">
        <v>447</v>
      </c>
    </row>
    <row r="302" spans="1:1" x14ac:dyDescent="0.2">
      <c r="A302" t="s">
        <v>448</v>
      </c>
    </row>
    <row r="303" spans="1:1" x14ac:dyDescent="0.2">
      <c r="A303" t="s">
        <v>449</v>
      </c>
    </row>
    <row r="304" spans="1:1" x14ac:dyDescent="0.2">
      <c r="A304" t="s">
        <v>450</v>
      </c>
    </row>
    <row r="305" spans="1:1" x14ac:dyDescent="0.2">
      <c r="A305" t="s">
        <v>451</v>
      </c>
    </row>
    <row r="306" spans="1:1" x14ac:dyDescent="0.2">
      <c r="A306" t="s">
        <v>452</v>
      </c>
    </row>
    <row r="307" spans="1:1" x14ac:dyDescent="0.2">
      <c r="A307" t="s">
        <v>453</v>
      </c>
    </row>
    <row r="308" spans="1:1" x14ac:dyDescent="0.2">
      <c r="A308" t="s">
        <v>454</v>
      </c>
    </row>
    <row r="309" spans="1:1" x14ac:dyDescent="0.2">
      <c r="A309" t="s">
        <v>455</v>
      </c>
    </row>
    <row r="310" spans="1:1" x14ac:dyDescent="0.2">
      <c r="A310" t="s">
        <v>456</v>
      </c>
    </row>
    <row r="311" spans="1:1" x14ac:dyDescent="0.2">
      <c r="A311" t="s">
        <v>457</v>
      </c>
    </row>
    <row r="312" spans="1:1" x14ac:dyDescent="0.2">
      <c r="A312" t="s">
        <v>458</v>
      </c>
    </row>
    <row r="313" spans="1:1" x14ac:dyDescent="0.2">
      <c r="A313" t="s">
        <v>459</v>
      </c>
    </row>
    <row r="314" spans="1:1" x14ac:dyDescent="0.2">
      <c r="A314" t="s">
        <v>460</v>
      </c>
    </row>
    <row r="315" spans="1:1" x14ac:dyDescent="0.2">
      <c r="A315" t="s">
        <v>461</v>
      </c>
    </row>
    <row r="316" spans="1:1" x14ac:dyDescent="0.2">
      <c r="A316" t="s">
        <v>462</v>
      </c>
    </row>
    <row r="317" spans="1:1" x14ac:dyDescent="0.2">
      <c r="A317" t="s">
        <v>463</v>
      </c>
    </row>
    <row r="318" spans="1:1" x14ac:dyDescent="0.2">
      <c r="A318" t="s">
        <v>464</v>
      </c>
    </row>
    <row r="319" spans="1:1" x14ac:dyDescent="0.2">
      <c r="A319" t="s">
        <v>465</v>
      </c>
    </row>
    <row r="320" spans="1:1" x14ac:dyDescent="0.2">
      <c r="A320" t="s">
        <v>466</v>
      </c>
    </row>
    <row r="321" spans="1:1" x14ac:dyDescent="0.2">
      <c r="A321" t="s">
        <v>467</v>
      </c>
    </row>
    <row r="322" spans="1:1" x14ac:dyDescent="0.2">
      <c r="A322" t="s">
        <v>468</v>
      </c>
    </row>
    <row r="323" spans="1:1" x14ac:dyDescent="0.2">
      <c r="A323" t="s">
        <v>469</v>
      </c>
    </row>
    <row r="324" spans="1:1" x14ac:dyDescent="0.2">
      <c r="A324" t="s">
        <v>470</v>
      </c>
    </row>
    <row r="325" spans="1:1" x14ac:dyDescent="0.2">
      <c r="A325" t="s">
        <v>471</v>
      </c>
    </row>
    <row r="326" spans="1:1" x14ac:dyDescent="0.2">
      <c r="A326" t="s">
        <v>472</v>
      </c>
    </row>
    <row r="327" spans="1:1" x14ac:dyDescent="0.2">
      <c r="A327" t="s">
        <v>473</v>
      </c>
    </row>
    <row r="328" spans="1:1" x14ac:dyDescent="0.2">
      <c r="A328" t="s">
        <v>474</v>
      </c>
    </row>
    <row r="329" spans="1:1" x14ac:dyDescent="0.2">
      <c r="A329" t="s">
        <v>475</v>
      </c>
    </row>
    <row r="330" spans="1:1" x14ac:dyDescent="0.2">
      <c r="A330" t="s">
        <v>476</v>
      </c>
    </row>
    <row r="331" spans="1:1" x14ac:dyDescent="0.2">
      <c r="A331" t="s">
        <v>477</v>
      </c>
    </row>
    <row r="332" spans="1:1" x14ac:dyDescent="0.2">
      <c r="A332" t="s">
        <v>478</v>
      </c>
    </row>
    <row r="333" spans="1:1" x14ac:dyDescent="0.2">
      <c r="A333" t="s">
        <v>479</v>
      </c>
    </row>
    <row r="334" spans="1:1" x14ac:dyDescent="0.2">
      <c r="A334" t="s">
        <v>480</v>
      </c>
    </row>
    <row r="335" spans="1:1" x14ac:dyDescent="0.2">
      <c r="A335" t="s">
        <v>481</v>
      </c>
    </row>
    <row r="336" spans="1:1" x14ac:dyDescent="0.2">
      <c r="A336" t="s">
        <v>482</v>
      </c>
    </row>
    <row r="337" spans="1:1" x14ac:dyDescent="0.2">
      <c r="A337" t="s">
        <v>483</v>
      </c>
    </row>
    <row r="338" spans="1:1" x14ac:dyDescent="0.2">
      <c r="A338" t="s">
        <v>484</v>
      </c>
    </row>
    <row r="339" spans="1:1" x14ac:dyDescent="0.2">
      <c r="A339" t="s">
        <v>485</v>
      </c>
    </row>
    <row r="340" spans="1:1" x14ac:dyDescent="0.2">
      <c r="A340" t="s">
        <v>486</v>
      </c>
    </row>
    <row r="341" spans="1:1" x14ac:dyDescent="0.2">
      <c r="A341" t="s">
        <v>487</v>
      </c>
    </row>
    <row r="342" spans="1:1" x14ac:dyDescent="0.2">
      <c r="A342" t="s">
        <v>488</v>
      </c>
    </row>
    <row r="343" spans="1:1" x14ac:dyDescent="0.2">
      <c r="A343" t="s">
        <v>489</v>
      </c>
    </row>
    <row r="344" spans="1:1" x14ac:dyDescent="0.2">
      <c r="A344" t="s">
        <v>490</v>
      </c>
    </row>
    <row r="345" spans="1:1" x14ac:dyDescent="0.2">
      <c r="A345" t="s">
        <v>491</v>
      </c>
    </row>
    <row r="346" spans="1:1" x14ac:dyDescent="0.2">
      <c r="A346" t="s">
        <v>492</v>
      </c>
    </row>
    <row r="347" spans="1:1" x14ac:dyDescent="0.2">
      <c r="A347" t="s">
        <v>493</v>
      </c>
    </row>
    <row r="348" spans="1:1" x14ac:dyDescent="0.2">
      <c r="A348" t="s">
        <v>494</v>
      </c>
    </row>
    <row r="349" spans="1:1" x14ac:dyDescent="0.2">
      <c r="A349" t="s">
        <v>495</v>
      </c>
    </row>
    <row r="350" spans="1:1" x14ac:dyDescent="0.2">
      <c r="A350" t="s">
        <v>496</v>
      </c>
    </row>
    <row r="351" spans="1:1" x14ac:dyDescent="0.2">
      <c r="A351" t="s">
        <v>497</v>
      </c>
    </row>
    <row r="352" spans="1:1" x14ac:dyDescent="0.2">
      <c r="A352" t="s">
        <v>498</v>
      </c>
    </row>
    <row r="353" spans="1:1" x14ac:dyDescent="0.2">
      <c r="A353" t="s">
        <v>499</v>
      </c>
    </row>
    <row r="354" spans="1:1" x14ac:dyDescent="0.2">
      <c r="A354" t="s">
        <v>500</v>
      </c>
    </row>
    <row r="355" spans="1:1" x14ac:dyDescent="0.2">
      <c r="A355" t="s">
        <v>501</v>
      </c>
    </row>
    <row r="356" spans="1:1" x14ac:dyDescent="0.2">
      <c r="A356" t="s">
        <v>502</v>
      </c>
    </row>
    <row r="357" spans="1:1" x14ac:dyDescent="0.2">
      <c r="A357" t="s">
        <v>503</v>
      </c>
    </row>
    <row r="358" spans="1:1" x14ac:dyDescent="0.2">
      <c r="A358" t="s">
        <v>504</v>
      </c>
    </row>
    <row r="359" spans="1:1" x14ac:dyDescent="0.2">
      <c r="A359" t="s">
        <v>505</v>
      </c>
    </row>
    <row r="360" spans="1:1" x14ac:dyDescent="0.2">
      <c r="A360" t="s">
        <v>506</v>
      </c>
    </row>
    <row r="361" spans="1:1" x14ac:dyDescent="0.2">
      <c r="A361" t="s">
        <v>507</v>
      </c>
    </row>
    <row r="362" spans="1:1" x14ac:dyDescent="0.2">
      <c r="A362" t="s">
        <v>508</v>
      </c>
    </row>
    <row r="363" spans="1:1" x14ac:dyDescent="0.2">
      <c r="A363" t="s">
        <v>509</v>
      </c>
    </row>
    <row r="364" spans="1:1" x14ac:dyDescent="0.2">
      <c r="A364" t="s">
        <v>510</v>
      </c>
    </row>
    <row r="365" spans="1:1" x14ac:dyDescent="0.2">
      <c r="A365" t="s">
        <v>511</v>
      </c>
    </row>
    <row r="366" spans="1:1" x14ac:dyDescent="0.2">
      <c r="A366" t="s">
        <v>512</v>
      </c>
    </row>
    <row r="367" spans="1:1" x14ac:dyDescent="0.2">
      <c r="A367" t="s">
        <v>513</v>
      </c>
    </row>
    <row r="368" spans="1:1" x14ac:dyDescent="0.2">
      <c r="A368" t="s">
        <v>514</v>
      </c>
    </row>
    <row r="369" spans="1:1" x14ac:dyDescent="0.2">
      <c r="A369" t="s">
        <v>515</v>
      </c>
    </row>
    <row r="370" spans="1:1" x14ac:dyDescent="0.2">
      <c r="A370" t="s">
        <v>516</v>
      </c>
    </row>
    <row r="371" spans="1:1" x14ac:dyDescent="0.2">
      <c r="A371" t="s">
        <v>517</v>
      </c>
    </row>
    <row r="372" spans="1:1" x14ac:dyDescent="0.2">
      <c r="A372" t="s">
        <v>518</v>
      </c>
    </row>
    <row r="373" spans="1:1" x14ac:dyDescent="0.2">
      <c r="A373" t="s">
        <v>519</v>
      </c>
    </row>
    <row r="374" spans="1:1" x14ac:dyDescent="0.2">
      <c r="A374" t="s">
        <v>520</v>
      </c>
    </row>
    <row r="375" spans="1:1" x14ac:dyDescent="0.2">
      <c r="A375" t="s">
        <v>521</v>
      </c>
    </row>
    <row r="376" spans="1:1" x14ac:dyDescent="0.2">
      <c r="A376" t="s">
        <v>522</v>
      </c>
    </row>
    <row r="377" spans="1:1" x14ac:dyDescent="0.2">
      <c r="A377" t="s">
        <v>523</v>
      </c>
    </row>
    <row r="378" spans="1:1" x14ac:dyDescent="0.2">
      <c r="A378" t="s">
        <v>524</v>
      </c>
    </row>
    <row r="379" spans="1:1" x14ac:dyDescent="0.2">
      <c r="A379" t="s">
        <v>525</v>
      </c>
    </row>
    <row r="380" spans="1:1" x14ac:dyDescent="0.2">
      <c r="A380" t="s">
        <v>526</v>
      </c>
    </row>
    <row r="381" spans="1:1" x14ac:dyDescent="0.2">
      <c r="A381" t="s">
        <v>527</v>
      </c>
    </row>
    <row r="382" spans="1:1" x14ac:dyDescent="0.2">
      <c r="A382" t="s">
        <v>528</v>
      </c>
    </row>
    <row r="383" spans="1:1" x14ac:dyDescent="0.2">
      <c r="A383" t="s">
        <v>529</v>
      </c>
    </row>
    <row r="384" spans="1:1" x14ac:dyDescent="0.2">
      <c r="A384" t="s">
        <v>530</v>
      </c>
    </row>
    <row r="385" spans="1:1" x14ac:dyDescent="0.2">
      <c r="A385" t="s">
        <v>531</v>
      </c>
    </row>
    <row r="386" spans="1:1" x14ac:dyDescent="0.2">
      <c r="A386" t="s">
        <v>532</v>
      </c>
    </row>
    <row r="387" spans="1:1" x14ac:dyDescent="0.2">
      <c r="A387" t="s">
        <v>533</v>
      </c>
    </row>
    <row r="388" spans="1:1" x14ac:dyDescent="0.2">
      <c r="A388" t="s">
        <v>534</v>
      </c>
    </row>
    <row r="389" spans="1:1" x14ac:dyDescent="0.2">
      <c r="A389" t="s">
        <v>535</v>
      </c>
    </row>
    <row r="390" spans="1:1" x14ac:dyDescent="0.2">
      <c r="A390" t="s">
        <v>536</v>
      </c>
    </row>
    <row r="391" spans="1:1" x14ac:dyDescent="0.2">
      <c r="A391" t="s">
        <v>537</v>
      </c>
    </row>
    <row r="392" spans="1:1" x14ac:dyDescent="0.2">
      <c r="A392" t="s">
        <v>538</v>
      </c>
    </row>
    <row r="393" spans="1:1" x14ac:dyDescent="0.2">
      <c r="A393" t="s">
        <v>539</v>
      </c>
    </row>
    <row r="394" spans="1:1" x14ac:dyDescent="0.2">
      <c r="A394" t="s">
        <v>540</v>
      </c>
    </row>
    <row r="395" spans="1:1" x14ac:dyDescent="0.2">
      <c r="A395" t="s">
        <v>541</v>
      </c>
    </row>
    <row r="396" spans="1:1" x14ac:dyDescent="0.2">
      <c r="A396" t="s">
        <v>542</v>
      </c>
    </row>
    <row r="397" spans="1:1" x14ac:dyDescent="0.2">
      <c r="A397" t="s">
        <v>543</v>
      </c>
    </row>
    <row r="398" spans="1:1" x14ac:dyDescent="0.2">
      <c r="A398" t="s">
        <v>544</v>
      </c>
    </row>
    <row r="399" spans="1:1" x14ac:dyDescent="0.2">
      <c r="A399" t="s">
        <v>545</v>
      </c>
    </row>
    <row r="400" spans="1:1" x14ac:dyDescent="0.2">
      <c r="A400" t="s">
        <v>546</v>
      </c>
    </row>
    <row r="401" spans="1:1" x14ac:dyDescent="0.2">
      <c r="A401" t="s">
        <v>547</v>
      </c>
    </row>
    <row r="402" spans="1:1" x14ac:dyDescent="0.2">
      <c r="A402" t="s">
        <v>548</v>
      </c>
    </row>
    <row r="403" spans="1:1" x14ac:dyDescent="0.2">
      <c r="A403" t="s">
        <v>549</v>
      </c>
    </row>
    <row r="404" spans="1:1" x14ac:dyDescent="0.2">
      <c r="A404" t="s">
        <v>550</v>
      </c>
    </row>
    <row r="405" spans="1:1" x14ac:dyDescent="0.2">
      <c r="A405" t="s">
        <v>551</v>
      </c>
    </row>
    <row r="406" spans="1:1" x14ac:dyDescent="0.2">
      <c r="A406" t="s">
        <v>552</v>
      </c>
    </row>
    <row r="407" spans="1:1" x14ac:dyDescent="0.2">
      <c r="A407" t="s">
        <v>553</v>
      </c>
    </row>
    <row r="408" spans="1:1" x14ac:dyDescent="0.2">
      <c r="A408" t="s">
        <v>554</v>
      </c>
    </row>
    <row r="409" spans="1:1" x14ac:dyDescent="0.2">
      <c r="A409" t="s">
        <v>555</v>
      </c>
    </row>
    <row r="410" spans="1:1" x14ac:dyDescent="0.2">
      <c r="A410" t="s">
        <v>556</v>
      </c>
    </row>
    <row r="411" spans="1:1" x14ac:dyDescent="0.2">
      <c r="A411" t="s">
        <v>557</v>
      </c>
    </row>
    <row r="412" spans="1:1" x14ac:dyDescent="0.2">
      <c r="A412" t="s">
        <v>558</v>
      </c>
    </row>
    <row r="413" spans="1:1" x14ac:dyDescent="0.2">
      <c r="A413" t="s">
        <v>559</v>
      </c>
    </row>
    <row r="414" spans="1:1" x14ac:dyDescent="0.2">
      <c r="A414" t="s">
        <v>560</v>
      </c>
    </row>
    <row r="415" spans="1:1" x14ac:dyDescent="0.2">
      <c r="A415" t="s">
        <v>561</v>
      </c>
    </row>
    <row r="416" spans="1:1" x14ac:dyDescent="0.2">
      <c r="A416" t="s">
        <v>562</v>
      </c>
    </row>
    <row r="417" spans="1:1" x14ac:dyDescent="0.2">
      <c r="A417" t="s">
        <v>563</v>
      </c>
    </row>
    <row r="418" spans="1:1" x14ac:dyDescent="0.2">
      <c r="A418" t="s">
        <v>564</v>
      </c>
    </row>
    <row r="419" spans="1:1" x14ac:dyDescent="0.2">
      <c r="A419" t="s">
        <v>565</v>
      </c>
    </row>
    <row r="420" spans="1:1" x14ac:dyDescent="0.2">
      <c r="A420" t="s">
        <v>566</v>
      </c>
    </row>
    <row r="421" spans="1:1" x14ac:dyDescent="0.2">
      <c r="A421" t="s">
        <v>567</v>
      </c>
    </row>
    <row r="422" spans="1:1" x14ac:dyDescent="0.2">
      <c r="A422" t="s">
        <v>568</v>
      </c>
    </row>
    <row r="423" spans="1:1" x14ac:dyDescent="0.2">
      <c r="A423" t="s">
        <v>569</v>
      </c>
    </row>
    <row r="424" spans="1:1" x14ac:dyDescent="0.2">
      <c r="A424" t="s">
        <v>570</v>
      </c>
    </row>
    <row r="425" spans="1:1" x14ac:dyDescent="0.2">
      <c r="A425" t="s">
        <v>571</v>
      </c>
    </row>
    <row r="426" spans="1:1" x14ac:dyDescent="0.2">
      <c r="A426" t="s">
        <v>572</v>
      </c>
    </row>
    <row r="427" spans="1:1" x14ac:dyDescent="0.2">
      <c r="A427" t="s">
        <v>573</v>
      </c>
    </row>
    <row r="428" spans="1:1" x14ac:dyDescent="0.2">
      <c r="A428" t="s">
        <v>574</v>
      </c>
    </row>
    <row r="429" spans="1:1" x14ac:dyDescent="0.2">
      <c r="A429" t="s">
        <v>575</v>
      </c>
    </row>
    <row r="430" spans="1:1" x14ac:dyDescent="0.2">
      <c r="A430" t="s">
        <v>576</v>
      </c>
    </row>
    <row r="431" spans="1:1" x14ac:dyDescent="0.2">
      <c r="A431" t="s">
        <v>577</v>
      </c>
    </row>
    <row r="432" spans="1:1" x14ac:dyDescent="0.2">
      <c r="A432" t="s">
        <v>578</v>
      </c>
    </row>
    <row r="433" spans="1:1" x14ac:dyDescent="0.2">
      <c r="A433" t="s">
        <v>579</v>
      </c>
    </row>
    <row r="434" spans="1:1" x14ac:dyDescent="0.2">
      <c r="A434" t="s">
        <v>580</v>
      </c>
    </row>
    <row r="435" spans="1:1" x14ac:dyDescent="0.2">
      <c r="A435" t="s">
        <v>581</v>
      </c>
    </row>
    <row r="436" spans="1:1" x14ac:dyDescent="0.2">
      <c r="A436" t="s">
        <v>582</v>
      </c>
    </row>
    <row r="437" spans="1:1" x14ac:dyDescent="0.2">
      <c r="A437" t="s">
        <v>583</v>
      </c>
    </row>
    <row r="438" spans="1:1" x14ac:dyDescent="0.2">
      <c r="A438" t="s">
        <v>584</v>
      </c>
    </row>
    <row r="439" spans="1:1" x14ac:dyDescent="0.2">
      <c r="A439" t="s">
        <v>585</v>
      </c>
    </row>
    <row r="440" spans="1:1" x14ac:dyDescent="0.2">
      <c r="A440" t="s">
        <v>586</v>
      </c>
    </row>
    <row r="441" spans="1:1" x14ac:dyDescent="0.2">
      <c r="A441" t="s">
        <v>587</v>
      </c>
    </row>
    <row r="442" spans="1:1" x14ac:dyDescent="0.2">
      <c r="A442" t="s">
        <v>588</v>
      </c>
    </row>
    <row r="443" spans="1:1" x14ac:dyDescent="0.2">
      <c r="A443" t="s">
        <v>589</v>
      </c>
    </row>
    <row r="444" spans="1:1" x14ac:dyDescent="0.2">
      <c r="A444" t="s">
        <v>590</v>
      </c>
    </row>
    <row r="445" spans="1:1" x14ac:dyDescent="0.2">
      <c r="A445" t="s">
        <v>591</v>
      </c>
    </row>
    <row r="446" spans="1:1" x14ac:dyDescent="0.2">
      <c r="A446" t="s">
        <v>592</v>
      </c>
    </row>
    <row r="447" spans="1:1" x14ac:dyDescent="0.2">
      <c r="A447" t="s">
        <v>593</v>
      </c>
    </row>
    <row r="448" spans="1:1" x14ac:dyDescent="0.2">
      <c r="A448" t="s">
        <v>594</v>
      </c>
    </row>
    <row r="449" spans="1:1" x14ac:dyDescent="0.2">
      <c r="A449" t="s">
        <v>595</v>
      </c>
    </row>
    <row r="450" spans="1:1" x14ac:dyDescent="0.2">
      <c r="A450" t="s">
        <v>596</v>
      </c>
    </row>
    <row r="451" spans="1:1" x14ac:dyDescent="0.2">
      <c r="A451" t="s">
        <v>597</v>
      </c>
    </row>
    <row r="452" spans="1:1" x14ac:dyDescent="0.2">
      <c r="A452" t="s">
        <v>598</v>
      </c>
    </row>
    <row r="453" spans="1:1" x14ac:dyDescent="0.2">
      <c r="A453" t="s">
        <v>599</v>
      </c>
    </row>
    <row r="454" spans="1:1" x14ac:dyDescent="0.2">
      <c r="A454" t="s">
        <v>600</v>
      </c>
    </row>
    <row r="455" spans="1:1" x14ac:dyDescent="0.2">
      <c r="A455" t="s">
        <v>601</v>
      </c>
    </row>
    <row r="456" spans="1:1" x14ac:dyDescent="0.2">
      <c r="A456" t="s">
        <v>602</v>
      </c>
    </row>
    <row r="457" spans="1:1" x14ac:dyDescent="0.2">
      <c r="A457" t="s">
        <v>603</v>
      </c>
    </row>
    <row r="458" spans="1:1" x14ac:dyDescent="0.2">
      <c r="A458" t="s">
        <v>604</v>
      </c>
    </row>
    <row r="459" spans="1:1" x14ac:dyDescent="0.2">
      <c r="A459" t="s">
        <v>605</v>
      </c>
    </row>
    <row r="460" spans="1:1" x14ac:dyDescent="0.2">
      <c r="A460" t="s">
        <v>606</v>
      </c>
    </row>
    <row r="461" spans="1:1" x14ac:dyDescent="0.2">
      <c r="A461" t="s">
        <v>607</v>
      </c>
    </row>
    <row r="462" spans="1:1" x14ac:dyDescent="0.2">
      <c r="A462" t="s">
        <v>608</v>
      </c>
    </row>
    <row r="463" spans="1:1" x14ac:dyDescent="0.2">
      <c r="A463" t="s">
        <v>609</v>
      </c>
    </row>
    <row r="464" spans="1:1" x14ac:dyDescent="0.2">
      <c r="A464" t="s">
        <v>610</v>
      </c>
    </row>
    <row r="465" spans="1:1" x14ac:dyDescent="0.2">
      <c r="A465" t="s">
        <v>611</v>
      </c>
    </row>
    <row r="466" spans="1:1" x14ac:dyDescent="0.2">
      <c r="A466" t="s">
        <v>612</v>
      </c>
    </row>
    <row r="467" spans="1:1" x14ac:dyDescent="0.2">
      <c r="A467" t="s">
        <v>613</v>
      </c>
    </row>
    <row r="468" spans="1:1" x14ac:dyDescent="0.2">
      <c r="A468" t="s">
        <v>614</v>
      </c>
    </row>
    <row r="469" spans="1:1" x14ac:dyDescent="0.2">
      <c r="A469" t="s">
        <v>615</v>
      </c>
    </row>
    <row r="470" spans="1:1" x14ac:dyDescent="0.2">
      <c r="A470" t="s">
        <v>616</v>
      </c>
    </row>
    <row r="471" spans="1:1" x14ac:dyDescent="0.2">
      <c r="A471" t="s">
        <v>617</v>
      </c>
    </row>
    <row r="472" spans="1:1" x14ac:dyDescent="0.2">
      <c r="A472" t="s">
        <v>618</v>
      </c>
    </row>
    <row r="473" spans="1:1" x14ac:dyDescent="0.2">
      <c r="A473" t="s">
        <v>619</v>
      </c>
    </row>
    <row r="474" spans="1:1" x14ac:dyDescent="0.2">
      <c r="A474" t="s">
        <v>620</v>
      </c>
    </row>
    <row r="475" spans="1:1" x14ac:dyDescent="0.2">
      <c r="A475" t="s">
        <v>621</v>
      </c>
    </row>
    <row r="476" spans="1:1" x14ac:dyDescent="0.2">
      <c r="A476" t="s">
        <v>622</v>
      </c>
    </row>
    <row r="477" spans="1:1" x14ac:dyDescent="0.2">
      <c r="A477" t="s">
        <v>623</v>
      </c>
    </row>
    <row r="478" spans="1:1" x14ac:dyDescent="0.2">
      <c r="A478" t="s">
        <v>624</v>
      </c>
    </row>
    <row r="479" spans="1:1" x14ac:dyDescent="0.2">
      <c r="A479" t="s">
        <v>625</v>
      </c>
    </row>
    <row r="480" spans="1:1" x14ac:dyDescent="0.2">
      <c r="A480" t="s">
        <v>626</v>
      </c>
    </row>
    <row r="481" spans="1:1" x14ac:dyDescent="0.2">
      <c r="A481" t="s">
        <v>627</v>
      </c>
    </row>
    <row r="482" spans="1:1" x14ac:dyDescent="0.2">
      <c r="A482" t="s">
        <v>628</v>
      </c>
    </row>
    <row r="483" spans="1:1" x14ac:dyDescent="0.2">
      <c r="A483" t="s">
        <v>629</v>
      </c>
    </row>
    <row r="484" spans="1:1" x14ac:dyDescent="0.2">
      <c r="A484" t="s">
        <v>630</v>
      </c>
    </row>
    <row r="485" spans="1:1" x14ac:dyDescent="0.2">
      <c r="A485" t="s">
        <v>631</v>
      </c>
    </row>
    <row r="486" spans="1:1" x14ac:dyDescent="0.2">
      <c r="A486" t="s">
        <v>632</v>
      </c>
    </row>
    <row r="487" spans="1:1" x14ac:dyDescent="0.2">
      <c r="A487" t="s">
        <v>633</v>
      </c>
    </row>
    <row r="488" spans="1:1" x14ac:dyDescent="0.2">
      <c r="A488" t="s">
        <v>634</v>
      </c>
    </row>
    <row r="489" spans="1:1" x14ac:dyDescent="0.2">
      <c r="A489" t="s">
        <v>635</v>
      </c>
    </row>
    <row r="490" spans="1:1" x14ac:dyDescent="0.2">
      <c r="A490" t="s">
        <v>636</v>
      </c>
    </row>
    <row r="491" spans="1:1" x14ac:dyDescent="0.2">
      <c r="A491" t="s">
        <v>637</v>
      </c>
    </row>
    <row r="492" spans="1:1" x14ac:dyDescent="0.2">
      <c r="A492" t="s">
        <v>638</v>
      </c>
    </row>
    <row r="493" spans="1:1" x14ac:dyDescent="0.2">
      <c r="A493" t="s">
        <v>639</v>
      </c>
    </row>
    <row r="494" spans="1:1" x14ac:dyDescent="0.2">
      <c r="A494" t="s">
        <v>640</v>
      </c>
    </row>
    <row r="495" spans="1:1" x14ac:dyDescent="0.2">
      <c r="A495" t="s">
        <v>641</v>
      </c>
    </row>
    <row r="496" spans="1:1" x14ac:dyDescent="0.2">
      <c r="A496" t="s">
        <v>642</v>
      </c>
    </row>
    <row r="497" spans="1:1" x14ac:dyDescent="0.2">
      <c r="A497" t="s">
        <v>643</v>
      </c>
    </row>
    <row r="498" spans="1:1" x14ac:dyDescent="0.2">
      <c r="A498" t="s">
        <v>644</v>
      </c>
    </row>
    <row r="499" spans="1:1" x14ac:dyDescent="0.2">
      <c r="A499" t="s">
        <v>645</v>
      </c>
    </row>
    <row r="500" spans="1:1" x14ac:dyDescent="0.2">
      <c r="A500" t="s">
        <v>646</v>
      </c>
    </row>
    <row r="501" spans="1:1" x14ac:dyDescent="0.2">
      <c r="A501" t="s">
        <v>647</v>
      </c>
    </row>
    <row r="502" spans="1:1" x14ac:dyDescent="0.2">
      <c r="A502" t="s">
        <v>648</v>
      </c>
    </row>
    <row r="503" spans="1:1" x14ac:dyDescent="0.2">
      <c r="A503" t="s">
        <v>649</v>
      </c>
    </row>
    <row r="504" spans="1:1" x14ac:dyDescent="0.2">
      <c r="A504" t="s">
        <v>650</v>
      </c>
    </row>
    <row r="505" spans="1:1" x14ac:dyDescent="0.2">
      <c r="A505" t="s">
        <v>651</v>
      </c>
    </row>
    <row r="506" spans="1:1" x14ac:dyDescent="0.2">
      <c r="A506" t="s">
        <v>652</v>
      </c>
    </row>
    <row r="507" spans="1:1" x14ac:dyDescent="0.2">
      <c r="A507" t="s">
        <v>653</v>
      </c>
    </row>
    <row r="508" spans="1:1" x14ac:dyDescent="0.2">
      <c r="A508" t="s">
        <v>654</v>
      </c>
    </row>
    <row r="509" spans="1:1" x14ac:dyDescent="0.2">
      <c r="A509" t="s">
        <v>655</v>
      </c>
    </row>
    <row r="510" spans="1:1" x14ac:dyDescent="0.2">
      <c r="A510" t="s">
        <v>656</v>
      </c>
    </row>
    <row r="511" spans="1:1" x14ac:dyDescent="0.2">
      <c r="A511" t="s">
        <v>657</v>
      </c>
    </row>
    <row r="512" spans="1:1" x14ac:dyDescent="0.2">
      <c r="A512" t="s">
        <v>658</v>
      </c>
    </row>
    <row r="513" spans="1:1" x14ac:dyDescent="0.2">
      <c r="A513" t="s">
        <v>659</v>
      </c>
    </row>
    <row r="514" spans="1:1" x14ac:dyDescent="0.2">
      <c r="A514" t="s">
        <v>660</v>
      </c>
    </row>
    <row r="515" spans="1:1" x14ac:dyDescent="0.2">
      <c r="A515" t="s">
        <v>661</v>
      </c>
    </row>
    <row r="516" spans="1:1" x14ac:dyDescent="0.2">
      <c r="A516" t="s">
        <v>662</v>
      </c>
    </row>
    <row r="517" spans="1:1" x14ac:dyDescent="0.2">
      <c r="A517" t="s">
        <v>663</v>
      </c>
    </row>
    <row r="518" spans="1:1" x14ac:dyDescent="0.2">
      <c r="A518" t="s">
        <v>664</v>
      </c>
    </row>
    <row r="519" spans="1:1" x14ac:dyDescent="0.2">
      <c r="A519" t="s">
        <v>665</v>
      </c>
    </row>
    <row r="520" spans="1:1" x14ac:dyDescent="0.2">
      <c r="A520" t="s">
        <v>666</v>
      </c>
    </row>
    <row r="521" spans="1:1" x14ac:dyDescent="0.2">
      <c r="A521" t="s">
        <v>667</v>
      </c>
    </row>
    <row r="522" spans="1:1" x14ac:dyDescent="0.2">
      <c r="A522" t="s">
        <v>668</v>
      </c>
    </row>
    <row r="523" spans="1:1" x14ac:dyDescent="0.2">
      <c r="A523" t="s">
        <v>669</v>
      </c>
    </row>
    <row r="524" spans="1:1" x14ac:dyDescent="0.2">
      <c r="A524" t="s">
        <v>670</v>
      </c>
    </row>
    <row r="525" spans="1:1" x14ac:dyDescent="0.2">
      <c r="A525" t="s">
        <v>671</v>
      </c>
    </row>
    <row r="526" spans="1:1" x14ac:dyDescent="0.2">
      <c r="A526" t="s">
        <v>672</v>
      </c>
    </row>
    <row r="527" spans="1:1" x14ac:dyDescent="0.2">
      <c r="A527" t="s">
        <v>673</v>
      </c>
    </row>
    <row r="528" spans="1:1" x14ac:dyDescent="0.2">
      <c r="A528" t="s">
        <v>674</v>
      </c>
    </row>
    <row r="529" spans="1:1" x14ac:dyDescent="0.2">
      <c r="A529" t="s">
        <v>675</v>
      </c>
    </row>
    <row r="530" spans="1:1" x14ac:dyDescent="0.2">
      <c r="A530" t="s">
        <v>676</v>
      </c>
    </row>
    <row r="531" spans="1:1" x14ac:dyDescent="0.2">
      <c r="A531" t="s">
        <v>677</v>
      </c>
    </row>
    <row r="532" spans="1:1" x14ac:dyDescent="0.2">
      <c r="A532" t="s">
        <v>678</v>
      </c>
    </row>
    <row r="533" spans="1:1" x14ac:dyDescent="0.2">
      <c r="A533" t="s">
        <v>679</v>
      </c>
    </row>
    <row r="534" spans="1:1" x14ac:dyDescent="0.2">
      <c r="A534" t="s">
        <v>680</v>
      </c>
    </row>
    <row r="535" spans="1:1" x14ac:dyDescent="0.2">
      <c r="A535" t="s">
        <v>681</v>
      </c>
    </row>
    <row r="536" spans="1:1" x14ac:dyDescent="0.2">
      <c r="A536" t="s">
        <v>682</v>
      </c>
    </row>
    <row r="537" spans="1:1" x14ac:dyDescent="0.2">
      <c r="A537" t="s">
        <v>683</v>
      </c>
    </row>
    <row r="538" spans="1:1" x14ac:dyDescent="0.2">
      <c r="A538" t="s">
        <v>684</v>
      </c>
    </row>
    <row r="539" spans="1:1" x14ac:dyDescent="0.2">
      <c r="A539" t="s">
        <v>685</v>
      </c>
    </row>
    <row r="540" spans="1:1" x14ac:dyDescent="0.2">
      <c r="A540" t="s">
        <v>686</v>
      </c>
    </row>
    <row r="541" spans="1:1" x14ac:dyDescent="0.2">
      <c r="A541" t="s">
        <v>687</v>
      </c>
    </row>
    <row r="542" spans="1:1" x14ac:dyDescent="0.2">
      <c r="A542" t="s">
        <v>688</v>
      </c>
    </row>
    <row r="543" spans="1:1" x14ac:dyDescent="0.2">
      <c r="A543" t="s">
        <v>689</v>
      </c>
    </row>
    <row r="544" spans="1:1" x14ac:dyDescent="0.2">
      <c r="A544" t="s">
        <v>690</v>
      </c>
    </row>
    <row r="545" spans="1:1" x14ac:dyDescent="0.2">
      <c r="A545" t="s">
        <v>691</v>
      </c>
    </row>
    <row r="546" spans="1:1" x14ac:dyDescent="0.2">
      <c r="A546" t="s">
        <v>692</v>
      </c>
    </row>
    <row r="547" spans="1:1" x14ac:dyDescent="0.2">
      <c r="A547" t="s">
        <v>693</v>
      </c>
    </row>
    <row r="548" spans="1:1" x14ac:dyDescent="0.2">
      <c r="A548" t="s">
        <v>694</v>
      </c>
    </row>
    <row r="549" spans="1:1" x14ac:dyDescent="0.2">
      <c r="A549" t="s">
        <v>695</v>
      </c>
    </row>
    <row r="550" spans="1:1" x14ac:dyDescent="0.2">
      <c r="A550" t="s">
        <v>696</v>
      </c>
    </row>
    <row r="551" spans="1:1" x14ac:dyDescent="0.2">
      <c r="A551" t="s">
        <v>697</v>
      </c>
    </row>
    <row r="552" spans="1:1" x14ac:dyDescent="0.2">
      <c r="A552" t="s">
        <v>698</v>
      </c>
    </row>
    <row r="553" spans="1:1" x14ac:dyDescent="0.2">
      <c r="A553" t="s">
        <v>699</v>
      </c>
    </row>
    <row r="554" spans="1:1" x14ac:dyDescent="0.2">
      <c r="A554" t="s">
        <v>700</v>
      </c>
    </row>
    <row r="555" spans="1:1" x14ac:dyDescent="0.2">
      <c r="A555" t="s">
        <v>701</v>
      </c>
    </row>
    <row r="556" spans="1:1" x14ac:dyDescent="0.2">
      <c r="A556" t="s">
        <v>702</v>
      </c>
    </row>
    <row r="557" spans="1:1" x14ac:dyDescent="0.2">
      <c r="A557" t="s">
        <v>703</v>
      </c>
    </row>
    <row r="558" spans="1:1" x14ac:dyDescent="0.2">
      <c r="A558" t="s">
        <v>704</v>
      </c>
    </row>
    <row r="559" spans="1:1" x14ac:dyDescent="0.2">
      <c r="A559" t="s">
        <v>705</v>
      </c>
    </row>
    <row r="560" spans="1:1" x14ac:dyDescent="0.2">
      <c r="A560" t="s">
        <v>706</v>
      </c>
    </row>
    <row r="561" spans="1:1" x14ac:dyDescent="0.2">
      <c r="A561" t="s">
        <v>707</v>
      </c>
    </row>
    <row r="562" spans="1:1" x14ac:dyDescent="0.2">
      <c r="A562" t="s">
        <v>708</v>
      </c>
    </row>
    <row r="563" spans="1:1" x14ac:dyDescent="0.2">
      <c r="A563" t="s">
        <v>709</v>
      </c>
    </row>
    <row r="564" spans="1:1" x14ac:dyDescent="0.2">
      <c r="A564" t="s">
        <v>710</v>
      </c>
    </row>
    <row r="565" spans="1:1" x14ac:dyDescent="0.2">
      <c r="A565" t="s">
        <v>711</v>
      </c>
    </row>
    <row r="566" spans="1:1" x14ac:dyDescent="0.2">
      <c r="A566" t="s">
        <v>712</v>
      </c>
    </row>
    <row r="567" spans="1:1" x14ac:dyDescent="0.2">
      <c r="A567" t="s">
        <v>713</v>
      </c>
    </row>
    <row r="568" spans="1:1" x14ac:dyDescent="0.2">
      <c r="A568" t="s">
        <v>714</v>
      </c>
    </row>
    <row r="569" spans="1:1" x14ac:dyDescent="0.2">
      <c r="A569" t="s">
        <v>715</v>
      </c>
    </row>
    <row r="570" spans="1:1" x14ac:dyDescent="0.2">
      <c r="A570" t="s">
        <v>716</v>
      </c>
    </row>
    <row r="571" spans="1:1" x14ac:dyDescent="0.2">
      <c r="A571" t="s">
        <v>717</v>
      </c>
    </row>
    <row r="572" spans="1:1" x14ac:dyDescent="0.2">
      <c r="A572" t="s">
        <v>718</v>
      </c>
    </row>
    <row r="573" spans="1:1" x14ac:dyDescent="0.2">
      <c r="A573" t="s">
        <v>719</v>
      </c>
    </row>
    <row r="574" spans="1:1" x14ac:dyDescent="0.2">
      <c r="A574" t="s">
        <v>720</v>
      </c>
    </row>
    <row r="575" spans="1:1" x14ac:dyDescent="0.2">
      <c r="A575" t="s">
        <v>721</v>
      </c>
    </row>
    <row r="576" spans="1:1" x14ac:dyDescent="0.2">
      <c r="A576" t="s">
        <v>722</v>
      </c>
    </row>
    <row r="577" spans="1:1" x14ac:dyDescent="0.2">
      <c r="A577" t="s">
        <v>723</v>
      </c>
    </row>
    <row r="578" spans="1:1" x14ac:dyDescent="0.2">
      <c r="A578" t="s">
        <v>724</v>
      </c>
    </row>
    <row r="579" spans="1:1" x14ac:dyDescent="0.2">
      <c r="A579" t="s">
        <v>725</v>
      </c>
    </row>
    <row r="580" spans="1:1" x14ac:dyDescent="0.2">
      <c r="A580" t="s">
        <v>726</v>
      </c>
    </row>
    <row r="581" spans="1:1" x14ac:dyDescent="0.2">
      <c r="A581" t="s">
        <v>727</v>
      </c>
    </row>
    <row r="582" spans="1:1" x14ac:dyDescent="0.2">
      <c r="A582" t="s">
        <v>728</v>
      </c>
    </row>
    <row r="583" spans="1:1" x14ac:dyDescent="0.2">
      <c r="A583" t="s">
        <v>729</v>
      </c>
    </row>
    <row r="584" spans="1:1" x14ac:dyDescent="0.2">
      <c r="A584" t="s">
        <v>730</v>
      </c>
    </row>
    <row r="585" spans="1:1" x14ac:dyDescent="0.2">
      <c r="A585" t="s">
        <v>731</v>
      </c>
    </row>
    <row r="586" spans="1:1" x14ac:dyDescent="0.2">
      <c r="A586" t="s">
        <v>732</v>
      </c>
    </row>
    <row r="587" spans="1:1" x14ac:dyDescent="0.2">
      <c r="A587" t="s">
        <v>733</v>
      </c>
    </row>
    <row r="588" spans="1:1" x14ac:dyDescent="0.2">
      <c r="A588" t="s">
        <v>734</v>
      </c>
    </row>
    <row r="589" spans="1:1" x14ac:dyDescent="0.2">
      <c r="A589" t="s">
        <v>735</v>
      </c>
    </row>
    <row r="590" spans="1:1" x14ac:dyDescent="0.2">
      <c r="A590" t="s">
        <v>736</v>
      </c>
    </row>
    <row r="591" spans="1:1" x14ac:dyDescent="0.2">
      <c r="A591" t="s">
        <v>737</v>
      </c>
    </row>
    <row r="592" spans="1:1" x14ac:dyDescent="0.2">
      <c r="A592" t="s">
        <v>738</v>
      </c>
    </row>
    <row r="593" spans="1:1" x14ac:dyDescent="0.2">
      <c r="A593" t="s">
        <v>739</v>
      </c>
    </row>
    <row r="594" spans="1:1" x14ac:dyDescent="0.2">
      <c r="A594" t="s">
        <v>740</v>
      </c>
    </row>
    <row r="595" spans="1:1" x14ac:dyDescent="0.2">
      <c r="A595" t="s">
        <v>741</v>
      </c>
    </row>
    <row r="596" spans="1:1" x14ac:dyDescent="0.2">
      <c r="A596" t="s">
        <v>742</v>
      </c>
    </row>
    <row r="597" spans="1:1" x14ac:dyDescent="0.2">
      <c r="A597" t="s">
        <v>743</v>
      </c>
    </row>
    <row r="598" spans="1:1" x14ac:dyDescent="0.2">
      <c r="A598" t="s">
        <v>744</v>
      </c>
    </row>
    <row r="599" spans="1:1" x14ac:dyDescent="0.2">
      <c r="A599" t="s">
        <v>745</v>
      </c>
    </row>
    <row r="600" spans="1:1" x14ac:dyDescent="0.2">
      <c r="A600" t="s">
        <v>746</v>
      </c>
    </row>
    <row r="601" spans="1:1" x14ac:dyDescent="0.2">
      <c r="A601" t="s">
        <v>747</v>
      </c>
    </row>
    <row r="602" spans="1:1" x14ac:dyDescent="0.2">
      <c r="A602" t="s">
        <v>748</v>
      </c>
    </row>
    <row r="603" spans="1:1" x14ac:dyDescent="0.2">
      <c r="A603" t="s">
        <v>749</v>
      </c>
    </row>
    <row r="604" spans="1:1" x14ac:dyDescent="0.2">
      <c r="A604" t="s">
        <v>750</v>
      </c>
    </row>
    <row r="605" spans="1:1" x14ac:dyDescent="0.2">
      <c r="A605" t="s">
        <v>751</v>
      </c>
    </row>
    <row r="606" spans="1:1" x14ac:dyDescent="0.2">
      <c r="A606" t="s">
        <v>752</v>
      </c>
    </row>
    <row r="607" spans="1:1" x14ac:dyDescent="0.2">
      <c r="A607" t="s">
        <v>753</v>
      </c>
    </row>
    <row r="608" spans="1:1" x14ac:dyDescent="0.2">
      <c r="A608" t="s">
        <v>754</v>
      </c>
    </row>
    <row r="609" spans="1:1" x14ac:dyDescent="0.2">
      <c r="A609" t="s">
        <v>755</v>
      </c>
    </row>
    <row r="610" spans="1:1" x14ac:dyDescent="0.2">
      <c r="A610" t="s">
        <v>756</v>
      </c>
    </row>
    <row r="611" spans="1:1" x14ac:dyDescent="0.2">
      <c r="A611" t="s">
        <v>757</v>
      </c>
    </row>
    <row r="612" spans="1:1" x14ac:dyDescent="0.2">
      <c r="A612" t="s">
        <v>758</v>
      </c>
    </row>
    <row r="613" spans="1:1" x14ac:dyDescent="0.2">
      <c r="A613" t="s">
        <v>759</v>
      </c>
    </row>
    <row r="614" spans="1:1" x14ac:dyDescent="0.2">
      <c r="A614" t="s">
        <v>760</v>
      </c>
    </row>
    <row r="615" spans="1:1" x14ac:dyDescent="0.2">
      <c r="A615" t="s">
        <v>761</v>
      </c>
    </row>
    <row r="616" spans="1:1" x14ac:dyDescent="0.2">
      <c r="A616" t="s">
        <v>762</v>
      </c>
    </row>
    <row r="617" spans="1:1" x14ac:dyDescent="0.2">
      <c r="A617" t="s">
        <v>763</v>
      </c>
    </row>
    <row r="618" spans="1:1" x14ac:dyDescent="0.2">
      <c r="A618" t="s">
        <v>764</v>
      </c>
    </row>
    <row r="619" spans="1:1" x14ac:dyDescent="0.2">
      <c r="A619" t="s">
        <v>765</v>
      </c>
    </row>
    <row r="620" spans="1:1" x14ac:dyDescent="0.2">
      <c r="A620" t="s">
        <v>766</v>
      </c>
    </row>
    <row r="621" spans="1:1" x14ac:dyDescent="0.2">
      <c r="A621" t="s">
        <v>767</v>
      </c>
    </row>
    <row r="622" spans="1:1" x14ac:dyDescent="0.2">
      <c r="A622" t="s">
        <v>768</v>
      </c>
    </row>
    <row r="623" spans="1:1" x14ac:dyDescent="0.2">
      <c r="A623" t="s">
        <v>769</v>
      </c>
    </row>
    <row r="624" spans="1:1" x14ac:dyDescent="0.2">
      <c r="A624" t="s">
        <v>770</v>
      </c>
    </row>
    <row r="625" spans="1:1" x14ac:dyDescent="0.2">
      <c r="A625" t="s">
        <v>771</v>
      </c>
    </row>
    <row r="626" spans="1:1" x14ac:dyDescent="0.2">
      <c r="A626" t="s">
        <v>772</v>
      </c>
    </row>
    <row r="627" spans="1:1" x14ac:dyDescent="0.2">
      <c r="A627" t="s">
        <v>773</v>
      </c>
    </row>
    <row r="628" spans="1:1" x14ac:dyDescent="0.2">
      <c r="A628" t="s">
        <v>774</v>
      </c>
    </row>
    <row r="629" spans="1:1" x14ac:dyDescent="0.2">
      <c r="A629" t="s">
        <v>775</v>
      </c>
    </row>
    <row r="630" spans="1:1" x14ac:dyDescent="0.2">
      <c r="A630" t="s">
        <v>776</v>
      </c>
    </row>
    <row r="631" spans="1:1" x14ac:dyDescent="0.2">
      <c r="A631" t="s">
        <v>777</v>
      </c>
    </row>
    <row r="632" spans="1:1" x14ac:dyDescent="0.2">
      <c r="A632" t="s">
        <v>778</v>
      </c>
    </row>
    <row r="633" spans="1:1" x14ac:dyDescent="0.2">
      <c r="A633" t="s">
        <v>779</v>
      </c>
    </row>
    <row r="634" spans="1:1" x14ac:dyDescent="0.2">
      <c r="A634" t="s">
        <v>780</v>
      </c>
    </row>
    <row r="635" spans="1:1" x14ac:dyDescent="0.2">
      <c r="A635" t="s">
        <v>781</v>
      </c>
    </row>
    <row r="636" spans="1:1" x14ac:dyDescent="0.2">
      <c r="A636" t="s">
        <v>782</v>
      </c>
    </row>
    <row r="637" spans="1:1" x14ac:dyDescent="0.2">
      <c r="A637" t="s">
        <v>783</v>
      </c>
    </row>
    <row r="638" spans="1:1" x14ac:dyDescent="0.2">
      <c r="A638" t="s">
        <v>784</v>
      </c>
    </row>
    <row r="639" spans="1:1" x14ac:dyDescent="0.2">
      <c r="A639" t="s">
        <v>785</v>
      </c>
    </row>
    <row r="640" spans="1:1" x14ac:dyDescent="0.2">
      <c r="A640" t="s">
        <v>786</v>
      </c>
    </row>
    <row r="641" spans="1:1" x14ac:dyDescent="0.2">
      <c r="A641" t="s">
        <v>787</v>
      </c>
    </row>
    <row r="642" spans="1:1" x14ac:dyDescent="0.2">
      <c r="A642" t="s">
        <v>788</v>
      </c>
    </row>
    <row r="643" spans="1:1" x14ac:dyDescent="0.2">
      <c r="A643" t="s">
        <v>789</v>
      </c>
    </row>
    <row r="644" spans="1:1" x14ac:dyDescent="0.2">
      <c r="A644" t="s">
        <v>790</v>
      </c>
    </row>
    <row r="645" spans="1:1" x14ac:dyDescent="0.2">
      <c r="A645" t="s">
        <v>791</v>
      </c>
    </row>
    <row r="646" spans="1:1" x14ac:dyDescent="0.2">
      <c r="A646" t="s">
        <v>792</v>
      </c>
    </row>
    <row r="647" spans="1:1" x14ac:dyDescent="0.2">
      <c r="A647" t="s">
        <v>793</v>
      </c>
    </row>
    <row r="648" spans="1:1" x14ac:dyDescent="0.2">
      <c r="A648" t="s">
        <v>794</v>
      </c>
    </row>
    <row r="649" spans="1:1" x14ac:dyDescent="0.2">
      <c r="A649" t="s">
        <v>795</v>
      </c>
    </row>
    <row r="650" spans="1:1" x14ac:dyDescent="0.2">
      <c r="A650" t="s">
        <v>796</v>
      </c>
    </row>
    <row r="651" spans="1:1" x14ac:dyDescent="0.2">
      <c r="A651" t="s">
        <v>797</v>
      </c>
    </row>
    <row r="652" spans="1:1" x14ac:dyDescent="0.2">
      <c r="A652" t="s">
        <v>798</v>
      </c>
    </row>
    <row r="653" spans="1:1" x14ac:dyDescent="0.2">
      <c r="A653" t="s">
        <v>799</v>
      </c>
    </row>
    <row r="654" spans="1:1" x14ac:dyDescent="0.2">
      <c r="A654" t="s">
        <v>800</v>
      </c>
    </row>
    <row r="655" spans="1:1" x14ac:dyDescent="0.2">
      <c r="A655" t="s">
        <v>801</v>
      </c>
    </row>
    <row r="656" spans="1:1" x14ac:dyDescent="0.2">
      <c r="A656" t="s">
        <v>802</v>
      </c>
    </row>
    <row r="657" spans="1:1" x14ac:dyDescent="0.2">
      <c r="A657" t="s">
        <v>803</v>
      </c>
    </row>
    <row r="658" spans="1:1" x14ac:dyDescent="0.2">
      <c r="A658" t="s">
        <v>804</v>
      </c>
    </row>
    <row r="659" spans="1:1" x14ac:dyDescent="0.2">
      <c r="A659" t="s">
        <v>805</v>
      </c>
    </row>
    <row r="660" spans="1:1" x14ac:dyDescent="0.2">
      <c r="A660" t="s">
        <v>806</v>
      </c>
    </row>
    <row r="661" spans="1:1" x14ac:dyDescent="0.2">
      <c r="A661" t="s">
        <v>807</v>
      </c>
    </row>
    <row r="662" spans="1:1" x14ac:dyDescent="0.2">
      <c r="A662" t="s">
        <v>808</v>
      </c>
    </row>
    <row r="663" spans="1:1" x14ac:dyDescent="0.2">
      <c r="A663" t="s">
        <v>809</v>
      </c>
    </row>
    <row r="664" spans="1:1" x14ac:dyDescent="0.2">
      <c r="A664" t="s">
        <v>810</v>
      </c>
    </row>
    <row r="665" spans="1:1" x14ac:dyDescent="0.2">
      <c r="A665" t="s">
        <v>811</v>
      </c>
    </row>
    <row r="666" spans="1:1" x14ac:dyDescent="0.2">
      <c r="A666" t="s">
        <v>812</v>
      </c>
    </row>
    <row r="667" spans="1:1" x14ac:dyDescent="0.2">
      <c r="A667" t="s">
        <v>813</v>
      </c>
    </row>
    <row r="668" spans="1:1" x14ac:dyDescent="0.2">
      <c r="A668" t="s">
        <v>814</v>
      </c>
    </row>
    <row r="669" spans="1:1" x14ac:dyDescent="0.2">
      <c r="A669" t="s">
        <v>815</v>
      </c>
    </row>
    <row r="670" spans="1:1" x14ac:dyDescent="0.2">
      <c r="A670" t="s">
        <v>816</v>
      </c>
    </row>
    <row r="671" spans="1:1" x14ac:dyDescent="0.2">
      <c r="A671" t="s">
        <v>817</v>
      </c>
    </row>
    <row r="672" spans="1:1" x14ac:dyDescent="0.2">
      <c r="A672" t="s">
        <v>818</v>
      </c>
    </row>
    <row r="673" spans="1:1" x14ac:dyDescent="0.2">
      <c r="A673" t="s">
        <v>819</v>
      </c>
    </row>
    <row r="674" spans="1:1" x14ac:dyDescent="0.2">
      <c r="A674" t="s">
        <v>820</v>
      </c>
    </row>
    <row r="675" spans="1:1" x14ac:dyDescent="0.2">
      <c r="A675" t="s">
        <v>821</v>
      </c>
    </row>
    <row r="676" spans="1:1" x14ac:dyDescent="0.2">
      <c r="A676" t="s">
        <v>822</v>
      </c>
    </row>
    <row r="677" spans="1:1" x14ac:dyDescent="0.2">
      <c r="A677" t="s">
        <v>823</v>
      </c>
    </row>
    <row r="678" spans="1:1" x14ac:dyDescent="0.2">
      <c r="A678" t="s">
        <v>824</v>
      </c>
    </row>
    <row r="679" spans="1:1" x14ac:dyDescent="0.2">
      <c r="A679" t="s">
        <v>825</v>
      </c>
    </row>
    <row r="680" spans="1:1" x14ac:dyDescent="0.2">
      <c r="A680" t="s">
        <v>826</v>
      </c>
    </row>
    <row r="681" spans="1:1" x14ac:dyDescent="0.2">
      <c r="A681" t="s">
        <v>827</v>
      </c>
    </row>
    <row r="682" spans="1:1" x14ac:dyDescent="0.2">
      <c r="A682" t="s">
        <v>828</v>
      </c>
    </row>
    <row r="683" spans="1:1" x14ac:dyDescent="0.2">
      <c r="A683" t="s">
        <v>829</v>
      </c>
    </row>
    <row r="684" spans="1:1" x14ac:dyDescent="0.2">
      <c r="A684" t="s">
        <v>830</v>
      </c>
    </row>
    <row r="685" spans="1:1" x14ac:dyDescent="0.2">
      <c r="A685" t="s">
        <v>831</v>
      </c>
    </row>
    <row r="686" spans="1:1" x14ac:dyDescent="0.2">
      <c r="A686" t="s">
        <v>832</v>
      </c>
    </row>
    <row r="687" spans="1:1" x14ac:dyDescent="0.2">
      <c r="A687" t="s">
        <v>833</v>
      </c>
    </row>
    <row r="688" spans="1:1" x14ac:dyDescent="0.2">
      <c r="A688" t="s">
        <v>834</v>
      </c>
    </row>
    <row r="689" spans="1:1" x14ac:dyDescent="0.2">
      <c r="A689" t="s">
        <v>835</v>
      </c>
    </row>
    <row r="690" spans="1:1" x14ac:dyDescent="0.2">
      <c r="A690" t="s">
        <v>836</v>
      </c>
    </row>
    <row r="691" spans="1:1" x14ac:dyDescent="0.2">
      <c r="A691" t="s">
        <v>837</v>
      </c>
    </row>
    <row r="692" spans="1:1" x14ac:dyDescent="0.2">
      <c r="A692" t="s">
        <v>838</v>
      </c>
    </row>
    <row r="693" spans="1:1" x14ac:dyDescent="0.2">
      <c r="A693" t="s">
        <v>839</v>
      </c>
    </row>
    <row r="694" spans="1:1" x14ac:dyDescent="0.2">
      <c r="A694" t="s">
        <v>840</v>
      </c>
    </row>
    <row r="695" spans="1:1" x14ac:dyDescent="0.2">
      <c r="A695" t="s">
        <v>841</v>
      </c>
    </row>
    <row r="696" spans="1:1" x14ac:dyDescent="0.2">
      <c r="A696" t="s">
        <v>842</v>
      </c>
    </row>
    <row r="697" spans="1:1" x14ac:dyDescent="0.2">
      <c r="A697" t="s">
        <v>843</v>
      </c>
    </row>
    <row r="698" spans="1:1" x14ac:dyDescent="0.2">
      <c r="A698" t="s">
        <v>844</v>
      </c>
    </row>
    <row r="699" spans="1:1" x14ac:dyDescent="0.2">
      <c r="A699" t="s">
        <v>845</v>
      </c>
    </row>
    <row r="700" spans="1:1" x14ac:dyDescent="0.2">
      <c r="A700" t="s">
        <v>846</v>
      </c>
    </row>
    <row r="701" spans="1:1" x14ac:dyDescent="0.2">
      <c r="A701" t="s">
        <v>847</v>
      </c>
    </row>
    <row r="702" spans="1:1" x14ac:dyDescent="0.2">
      <c r="A702" t="s">
        <v>848</v>
      </c>
    </row>
    <row r="703" spans="1:1" x14ac:dyDescent="0.2">
      <c r="A703" t="s">
        <v>849</v>
      </c>
    </row>
    <row r="704" spans="1:1" x14ac:dyDescent="0.2">
      <c r="A704" t="s">
        <v>850</v>
      </c>
    </row>
    <row r="705" spans="1:1" x14ac:dyDescent="0.2">
      <c r="A705" t="s">
        <v>851</v>
      </c>
    </row>
    <row r="706" spans="1:1" x14ac:dyDescent="0.2">
      <c r="A706" t="s">
        <v>852</v>
      </c>
    </row>
    <row r="707" spans="1:1" x14ac:dyDescent="0.2">
      <c r="A707" t="s">
        <v>853</v>
      </c>
    </row>
    <row r="708" spans="1:1" x14ac:dyDescent="0.2">
      <c r="A708" t="s">
        <v>854</v>
      </c>
    </row>
    <row r="709" spans="1:1" x14ac:dyDescent="0.2">
      <c r="A709" t="s">
        <v>855</v>
      </c>
    </row>
    <row r="710" spans="1:1" x14ac:dyDescent="0.2">
      <c r="A710" t="s">
        <v>856</v>
      </c>
    </row>
    <row r="711" spans="1:1" x14ac:dyDescent="0.2">
      <c r="A711" t="s">
        <v>857</v>
      </c>
    </row>
    <row r="712" spans="1:1" x14ac:dyDescent="0.2">
      <c r="A712" t="s">
        <v>858</v>
      </c>
    </row>
    <row r="713" spans="1:1" x14ac:dyDescent="0.2">
      <c r="A713" t="s">
        <v>859</v>
      </c>
    </row>
    <row r="714" spans="1:1" x14ac:dyDescent="0.2">
      <c r="A714" t="s">
        <v>860</v>
      </c>
    </row>
    <row r="715" spans="1:1" x14ac:dyDescent="0.2">
      <c r="A715" t="s">
        <v>861</v>
      </c>
    </row>
    <row r="716" spans="1:1" x14ac:dyDescent="0.2">
      <c r="A716" t="s">
        <v>862</v>
      </c>
    </row>
    <row r="717" spans="1:1" x14ac:dyDescent="0.2">
      <c r="A717" t="s">
        <v>863</v>
      </c>
    </row>
    <row r="718" spans="1:1" x14ac:dyDescent="0.2">
      <c r="A718" t="s">
        <v>864</v>
      </c>
    </row>
    <row r="719" spans="1:1" x14ac:dyDescent="0.2">
      <c r="A719" t="s">
        <v>865</v>
      </c>
    </row>
    <row r="720" spans="1:1" x14ac:dyDescent="0.2">
      <c r="A720" t="s">
        <v>866</v>
      </c>
    </row>
    <row r="721" spans="1:1" x14ac:dyDescent="0.2">
      <c r="A721" t="s">
        <v>867</v>
      </c>
    </row>
    <row r="722" spans="1:1" x14ac:dyDescent="0.2">
      <c r="A722" t="s">
        <v>868</v>
      </c>
    </row>
    <row r="723" spans="1:1" x14ac:dyDescent="0.2">
      <c r="A723" t="s">
        <v>869</v>
      </c>
    </row>
    <row r="724" spans="1:1" x14ac:dyDescent="0.2">
      <c r="A724" t="s">
        <v>870</v>
      </c>
    </row>
    <row r="725" spans="1:1" x14ac:dyDescent="0.2">
      <c r="A725" t="s">
        <v>871</v>
      </c>
    </row>
    <row r="726" spans="1:1" x14ac:dyDescent="0.2">
      <c r="A726" t="s">
        <v>872</v>
      </c>
    </row>
    <row r="727" spans="1:1" x14ac:dyDescent="0.2">
      <c r="A727" t="s">
        <v>873</v>
      </c>
    </row>
    <row r="728" spans="1:1" x14ac:dyDescent="0.2">
      <c r="A728" t="s">
        <v>874</v>
      </c>
    </row>
    <row r="729" spans="1:1" x14ac:dyDescent="0.2">
      <c r="A729" t="s">
        <v>875</v>
      </c>
    </row>
    <row r="730" spans="1:1" x14ac:dyDescent="0.2">
      <c r="A730" t="s">
        <v>876</v>
      </c>
    </row>
    <row r="731" spans="1:1" x14ac:dyDescent="0.2">
      <c r="A731" t="s">
        <v>877</v>
      </c>
    </row>
    <row r="732" spans="1:1" x14ac:dyDescent="0.2">
      <c r="A732" t="s">
        <v>878</v>
      </c>
    </row>
    <row r="733" spans="1:1" x14ac:dyDescent="0.2">
      <c r="A733" t="s">
        <v>879</v>
      </c>
    </row>
    <row r="734" spans="1:1" x14ac:dyDescent="0.2">
      <c r="A734" t="s">
        <v>880</v>
      </c>
    </row>
    <row r="735" spans="1:1" x14ac:dyDescent="0.2">
      <c r="A735" t="s">
        <v>881</v>
      </c>
    </row>
    <row r="736" spans="1:1" x14ac:dyDescent="0.2">
      <c r="A736" t="s">
        <v>882</v>
      </c>
    </row>
    <row r="737" spans="1:1" x14ac:dyDescent="0.2">
      <c r="A737" t="s">
        <v>883</v>
      </c>
    </row>
    <row r="738" spans="1:1" x14ac:dyDescent="0.2">
      <c r="A738" t="s">
        <v>884</v>
      </c>
    </row>
    <row r="739" spans="1:1" x14ac:dyDescent="0.2">
      <c r="A739" t="s">
        <v>885</v>
      </c>
    </row>
    <row r="740" spans="1:1" x14ac:dyDescent="0.2">
      <c r="A740" t="s">
        <v>886</v>
      </c>
    </row>
    <row r="741" spans="1:1" x14ac:dyDescent="0.2">
      <c r="A741" t="s">
        <v>887</v>
      </c>
    </row>
    <row r="742" spans="1:1" x14ac:dyDescent="0.2">
      <c r="A742" t="s">
        <v>888</v>
      </c>
    </row>
    <row r="743" spans="1:1" x14ac:dyDescent="0.2">
      <c r="A743" t="s">
        <v>889</v>
      </c>
    </row>
    <row r="744" spans="1:1" x14ac:dyDescent="0.2">
      <c r="A744" t="s">
        <v>890</v>
      </c>
    </row>
    <row r="745" spans="1:1" x14ac:dyDescent="0.2">
      <c r="A745" t="s">
        <v>891</v>
      </c>
    </row>
    <row r="746" spans="1:1" x14ac:dyDescent="0.2">
      <c r="A746" t="s">
        <v>892</v>
      </c>
    </row>
    <row r="747" spans="1:1" x14ac:dyDescent="0.2">
      <c r="A747" t="s">
        <v>893</v>
      </c>
    </row>
    <row r="748" spans="1:1" x14ac:dyDescent="0.2">
      <c r="A748" t="s">
        <v>894</v>
      </c>
    </row>
    <row r="749" spans="1:1" x14ac:dyDescent="0.2">
      <c r="A749" t="s">
        <v>895</v>
      </c>
    </row>
    <row r="750" spans="1:1" x14ac:dyDescent="0.2">
      <c r="A750" t="s">
        <v>896</v>
      </c>
    </row>
    <row r="751" spans="1:1" x14ac:dyDescent="0.2">
      <c r="A751" t="s">
        <v>897</v>
      </c>
    </row>
    <row r="752" spans="1:1" x14ac:dyDescent="0.2">
      <c r="A752" t="s">
        <v>898</v>
      </c>
    </row>
    <row r="753" spans="1:1" x14ac:dyDescent="0.2">
      <c r="A753" t="s">
        <v>899</v>
      </c>
    </row>
    <row r="754" spans="1:1" x14ac:dyDescent="0.2">
      <c r="A754" t="s">
        <v>900</v>
      </c>
    </row>
    <row r="755" spans="1:1" x14ac:dyDescent="0.2">
      <c r="A755" t="s">
        <v>901</v>
      </c>
    </row>
    <row r="756" spans="1:1" x14ac:dyDescent="0.2">
      <c r="A756" t="s">
        <v>902</v>
      </c>
    </row>
    <row r="757" spans="1:1" x14ac:dyDescent="0.2">
      <c r="A757" t="s">
        <v>903</v>
      </c>
    </row>
    <row r="758" spans="1:1" x14ac:dyDescent="0.2">
      <c r="A758" t="s">
        <v>904</v>
      </c>
    </row>
    <row r="759" spans="1:1" x14ac:dyDescent="0.2">
      <c r="A759" t="s">
        <v>905</v>
      </c>
    </row>
    <row r="760" spans="1:1" x14ac:dyDescent="0.2">
      <c r="A760" t="s">
        <v>906</v>
      </c>
    </row>
    <row r="761" spans="1:1" x14ac:dyDescent="0.2">
      <c r="A761" t="s">
        <v>907</v>
      </c>
    </row>
    <row r="762" spans="1:1" x14ac:dyDescent="0.2">
      <c r="A762" t="s">
        <v>908</v>
      </c>
    </row>
    <row r="763" spans="1:1" x14ac:dyDescent="0.2">
      <c r="A763" t="s">
        <v>909</v>
      </c>
    </row>
    <row r="764" spans="1:1" x14ac:dyDescent="0.2">
      <c r="A764" t="s">
        <v>910</v>
      </c>
    </row>
    <row r="765" spans="1:1" x14ac:dyDescent="0.2">
      <c r="A765" t="s">
        <v>911</v>
      </c>
    </row>
    <row r="766" spans="1:1" x14ac:dyDescent="0.2">
      <c r="A766" t="s">
        <v>912</v>
      </c>
    </row>
    <row r="767" spans="1:1" x14ac:dyDescent="0.2">
      <c r="A767" t="s">
        <v>913</v>
      </c>
    </row>
    <row r="768" spans="1:1" x14ac:dyDescent="0.2">
      <c r="A768" t="s">
        <v>914</v>
      </c>
    </row>
    <row r="769" spans="1:1" x14ac:dyDescent="0.2">
      <c r="A769" t="s">
        <v>915</v>
      </c>
    </row>
    <row r="770" spans="1:1" x14ac:dyDescent="0.2">
      <c r="A770" t="s">
        <v>916</v>
      </c>
    </row>
    <row r="771" spans="1:1" x14ac:dyDescent="0.2">
      <c r="A771" t="s">
        <v>917</v>
      </c>
    </row>
    <row r="772" spans="1:1" x14ac:dyDescent="0.2">
      <c r="A772" t="s">
        <v>918</v>
      </c>
    </row>
    <row r="773" spans="1:1" x14ac:dyDescent="0.2">
      <c r="A773" t="s">
        <v>919</v>
      </c>
    </row>
    <row r="774" spans="1:1" x14ac:dyDescent="0.2">
      <c r="A774" t="s">
        <v>920</v>
      </c>
    </row>
    <row r="775" spans="1:1" x14ac:dyDescent="0.2">
      <c r="A775" t="s">
        <v>921</v>
      </c>
    </row>
    <row r="776" spans="1:1" x14ac:dyDescent="0.2">
      <c r="A776" t="s">
        <v>922</v>
      </c>
    </row>
    <row r="777" spans="1:1" x14ac:dyDescent="0.2">
      <c r="A777" t="s">
        <v>923</v>
      </c>
    </row>
    <row r="778" spans="1:1" x14ac:dyDescent="0.2">
      <c r="A778" t="s">
        <v>924</v>
      </c>
    </row>
    <row r="779" spans="1:1" x14ac:dyDescent="0.2">
      <c r="A779" t="s">
        <v>925</v>
      </c>
    </row>
    <row r="780" spans="1:1" x14ac:dyDescent="0.2">
      <c r="A780" t="s">
        <v>926</v>
      </c>
    </row>
    <row r="781" spans="1:1" x14ac:dyDescent="0.2">
      <c r="A781" t="s">
        <v>927</v>
      </c>
    </row>
    <row r="782" spans="1:1" x14ac:dyDescent="0.2">
      <c r="A782" t="s">
        <v>928</v>
      </c>
    </row>
    <row r="783" spans="1:1" x14ac:dyDescent="0.2">
      <c r="A783" t="s">
        <v>929</v>
      </c>
    </row>
    <row r="784" spans="1:1" x14ac:dyDescent="0.2">
      <c r="A784" t="s">
        <v>930</v>
      </c>
    </row>
    <row r="785" spans="1:1" x14ac:dyDescent="0.2">
      <c r="A785" t="s">
        <v>931</v>
      </c>
    </row>
    <row r="786" spans="1:1" x14ac:dyDescent="0.2">
      <c r="A786" t="s">
        <v>932</v>
      </c>
    </row>
    <row r="787" spans="1:1" x14ac:dyDescent="0.2">
      <c r="A787" t="s">
        <v>933</v>
      </c>
    </row>
    <row r="788" spans="1:1" x14ac:dyDescent="0.2">
      <c r="A788" t="s">
        <v>934</v>
      </c>
    </row>
    <row r="789" spans="1:1" x14ac:dyDescent="0.2">
      <c r="A789" t="s">
        <v>935</v>
      </c>
    </row>
    <row r="790" spans="1:1" x14ac:dyDescent="0.2">
      <c r="A790" t="s">
        <v>936</v>
      </c>
    </row>
    <row r="791" spans="1:1" x14ac:dyDescent="0.2">
      <c r="A791" t="s">
        <v>937</v>
      </c>
    </row>
    <row r="792" spans="1:1" x14ac:dyDescent="0.2">
      <c r="A792" t="s">
        <v>938</v>
      </c>
    </row>
    <row r="793" spans="1:1" x14ac:dyDescent="0.2">
      <c r="A793" t="s">
        <v>939</v>
      </c>
    </row>
    <row r="794" spans="1:1" x14ac:dyDescent="0.2">
      <c r="A794" t="s">
        <v>940</v>
      </c>
    </row>
    <row r="795" spans="1:1" x14ac:dyDescent="0.2">
      <c r="A795" t="s">
        <v>941</v>
      </c>
    </row>
    <row r="796" spans="1:1" x14ac:dyDescent="0.2">
      <c r="A796" t="s">
        <v>942</v>
      </c>
    </row>
    <row r="797" spans="1:1" x14ac:dyDescent="0.2">
      <c r="A797" t="s">
        <v>943</v>
      </c>
    </row>
    <row r="798" spans="1:1" x14ac:dyDescent="0.2">
      <c r="A798" t="s">
        <v>944</v>
      </c>
    </row>
    <row r="799" spans="1:1" x14ac:dyDescent="0.2">
      <c r="A799" t="s">
        <v>945</v>
      </c>
    </row>
    <row r="800" spans="1:1" x14ac:dyDescent="0.2">
      <c r="A800" t="s">
        <v>946</v>
      </c>
    </row>
    <row r="801" spans="1:1" x14ac:dyDescent="0.2">
      <c r="A801" t="s">
        <v>947</v>
      </c>
    </row>
    <row r="802" spans="1:1" x14ac:dyDescent="0.2">
      <c r="A802" t="s">
        <v>948</v>
      </c>
    </row>
    <row r="803" spans="1:1" x14ac:dyDescent="0.2">
      <c r="A803" t="s">
        <v>949</v>
      </c>
    </row>
    <row r="804" spans="1:1" x14ac:dyDescent="0.2">
      <c r="A804" t="s">
        <v>950</v>
      </c>
    </row>
    <row r="805" spans="1:1" x14ac:dyDescent="0.2">
      <c r="A805" t="s">
        <v>951</v>
      </c>
    </row>
    <row r="806" spans="1:1" x14ac:dyDescent="0.2">
      <c r="A806" t="s">
        <v>952</v>
      </c>
    </row>
    <row r="807" spans="1:1" x14ac:dyDescent="0.2">
      <c r="A807" t="s">
        <v>953</v>
      </c>
    </row>
    <row r="808" spans="1:1" x14ac:dyDescent="0.2">
      <c r="A808" t="s">
        <v>954</v>
      </c>
    </row>
    <row r="809" spans="1:1" x14ac:dyDescent="0.2">
      <c r="A809" t="s">
        <v>955</v>
      </c>
    </row>
    <row r="810" spans="1:1" x14ac:dyDescent="0.2">
      <c r="A810" t="s">
        <v>956</v>
      </c>
    </row>
    <row r="811" spans="1:1" x14ac:dyDescent="0.2">
      <c r="A811" t="s">
        <v>957</v>
      </c>
    </row>
    <row r="812" spans="1:1" x14ac:dyDescent="0.2">
      <c r="A812" t="s">
        <v>958</v>
      </c>
    </row>
    <row r="813" spans="1:1" x14ac:dyDescent="0.2">
      <c r="A813" t="s">
        <v>959</v>
      </c>
    </row>
    <row r="814" spans="1:1" x14ac:dyDescent="0.2">
      <c r="A814" t="s">
        <v>960</v>
      </c>
    </row>
    <row r="815" spans="1:1" x14ac:dyDescent="0.2">
      <c r="A815" t="s">
        <v>961</v>
      </c>
    </row>
    <row r="816" spans="1:1" x14ac:dyDescent="0.2">
      <c r="A816" t="s">
        <v>962</v>
      </c>
    </row>
    <row r="817" spans="1:1" x14ac:dyDescent="0.2">
      <c r="A817" t="s">
        <v>963</v>
      </c>
    </row>
    <row r="818" spans="1:1" x14ac:dyDescent="0.2">
      <c r="A818" t="s">
        <v>964</v>
      </c>
    </row>
    <row r="819" spans="1:1" x14ac:dyDescent="0.2">
      <c r="A819" t="s">
        <v>965</v>
      </c>
    </row>
    <row r="820" spans="1:1" x14ac:dyDescent="0.2">
      <c r="A820" t="s">
        <v>966</v>
      </c>
    </row>
    <row r="821" spans="1:1" x14ac:dyDescent="0.2">
      <c r="A821" t="s">
        <v>967</v>
      </c>
    </row>
    <row r="822" spans="1:1" x14ac:dyDescent="0.2">
      <c r="A822" t="s">
        <v>968</v>
      </c>
    </row>
    <row r="823" spans="1:1" x14ac:dyDescent="0.2">
      <c r="A823" t="s">
        <v>969</v>
      </c>
    </row>
    <row r="824" spans="1:1" x14ac:dyDescent="0.2">
      <c r="A824" t="s">
        <v>970</v>
      </c>
    </row>
    <row r="825" spans="1:1" x14ac:dyDescent="0.2">
      <c r="A825" t="s">
        <v>971</v>
      </c>
    </row>
    <row r="826" spans="1:1" x14ac:dyDescent="0.2">
      <c r="A826" t="s">
        <v>972</v>
      </c>
    </row>
    <row r="827" spans="1:1" x14ac:dyDescent="0.2">
      <c r="A827" t="s">
        <v>973</v>
      </c>
    </row>
    <row r="828" spans="1:1" x14ac:dyDescent="0.2">
      <c r="A828" t="s">
        <v>974</v>
      </c>
    </row>
    <row r="829" spans="1:1" x14ac:dyDescent="0.2">
      <c r="A829" t="s">
        <v>975</v>
      </c>
    </row>
    <row r="830" spans="1:1" x14ac:dyDescent="0.2">
      <c r="A830" t="s">
        <v>976</v>
      </c>
    </row>
    <row r="831" spans="1:1" x14ac:dyDescent="0.2">
      <c r="A831" t="s">
        <v>977</v>
      </c>
    </row>
    <row r="832" spans="1:1" x14ac:dyDescent="0.2">
      <c r="A832" t="s">
        <v>978</v>
      </c>
    </row>
    <row r="833" spans="1:1" x14ac:dyDescent="0.2">
      <c r="A833" t="s">
        <v>979</v>
      </c>
    </row>
    <row r="834" spans="1:1" x14ac:dyDescent="0.2">
      <c r="A834" t="s">
        <v>980</v>
      </c>
    </row>
    <row r="835" spans="1:1" x14ac:dyDescent="0.2">
      <c r="A835" t="s">
        <v>981</v>
      </c>
    </row>
    <row r="836" spans="1:1" x14ac:dyDescent="0.2">
      <c r="A836" t="s">
        <v>982</v>
      </c>
    </row>
    <row r="837" spans="1:1" x14ac:dyDescent="0.2">
      <c r="A837" t="s">
        <v>983</v>
      </c>
    </row>
    <row r="838" spans="1:1" x14ac:dyDescent="0.2">
      <c r="A838" t="s">
        <v>984</v>
      </c>
    </row>
    <row r="839" spans="1:1" x14ac:dyDescent="0.2">
      <c r="A839" t="s">
        <v>985</v>
      </c>
    </row>
    <row r="840" spans="1:1" x14ac:dyDescent="0.2">
      <c r="A840" t="s">
        <v>986</v>
      </c>
    </row>
    <row r="841" spans="1:1" x14ac:dyDescent="0.2">
      <c r="A841" t="s">
        <v>987</v>
      </c>
    </row>
    <row r="842" spans="1:1" x14ac:dyDescent="0.2">
      <c r="A842" t="s">
        <v>988</v>
      </c>
    </row>
    <row r="843" spans="1:1" x14ac:dyDescent="0.2">
      <c r="A843" t="s">
        <v>989</v>
      </c>
    </row>
    <row r="844" spans="1:1" x14ac:dyDescent="0.2">
      <c r="A844" t="s">
        <v>990</v>
      </c>
    </row>
    <row r="845" spans="1:1" x14ac:dyDescent="0.2">
      <c r="A845" t="s">
        <v>991</v>
      </c>
    </row>
    <row r="846" spans="1:1" x14ac:dyDescent="0.2">
      <c r="A846" t="s">
        <v>992</v>
      </c>
    </row>
    <row r="847" spans="1:1" x14ac:dyDescent="0.2">
      <c r="A847" t="s">
        <v>993</v>
      </c>
    </row>
    <row r="848" spans="1:1" x14ac:dyDescent="0.2">
      <c r="A848" t="s">
        <v>994</v>
      </c>
    </row>
    <row r="849" spans="1:1" x14ac:dyDescent="0.2">
      <c r="A849" t="s">
        <v>995</v>
      </c>
    </row>
    <row r="850" spans="1:1" x14ac:dyDescent="0.2">
      <c r="A850" t="s">
        <v>996</v>
      </c>
    </row>
    <row r="851" spans="1:1" x14ac:dyDescent="0.2">
      <c r="A851" t="s">
        <v>997</v>
      </c>
    </row>
    <row r="852" spans="1:1" x14ac:dyDescent="0.2">
      <c r="A852" t="s">
        <v>998</v>
      </c>
    </row>
    <row r="853" spans="1:1" x14ac:dyDescent="0.2">
      <c r="A853" t="s">
        <v>999</v>
      </c>
    </row>
    <row r="854" spans="1:1" x14ac:dyDescent="0.2">
      <c r="A854" t="s">
        <v>1000</v>
      </c>
    </row>
    <row r="855" spans="1:1" x14ac:dyDescent="0.2">
      <c r="A855" t="s">
        <v>1001</v>
      </c>
    </row>
    <row r="856" spans="1:1" x14ac:dyDescent="0.2">
      <c r="A856" t="s">
        <v>1002</v>
      </c>
    </row>
    <row r="857" spans="1:1" x14ac:dyDescent="0.2">
      <c r="A857" t="s">
        <v>1003</v>
      </c>
    </row>
    <row r="858" spans="1:1" x14ac:dyDescent="0.2">
      <c r="A858" t="s">
        <v>1004</v>
      </c>
    </row>
    <row r="859" spans="1:1" x14ac:dyDescent="0.2">
      <c r="A859" t="s">
        <v>1005</v>
      </c>
    </row>
    <row r="860" spans="1:1" x14ac:dyDescent="0.2">
      <c r="A860" t="s">
        <v>1006</v>
      </c>
    </row>
    <row r="861" spans="1:1" x14ac:dyDescent="0.2">
      <c r="A861" t="s">
        <v>1007</v>
      </c>
    </row>
    <row r="862" spans="1:1" x14ac:dyDescent="0.2">
      <c r="A862" t="s">
        <v>1008</v>
      </c>
    </row>
    <row r="863" spans="1:1" x14ac:dyDescent="0.2">
      <c r="A863" t="s">
        <v>1009</v>
      </c>
    </row>
    <row r="864" spans="1:1" x14ac:dyDescent="0.2">
      <c r="A864" t="s">
        <v>1010</v>
      </c>
    </row>
    <row r="865" spans="1:1" x14ac:dyDescent="0.2">
      <c r="A865" t="s">
        <v>1011</v>
      </c>
    </row>
    <row r="866" spans="1:1" x14ac:dyDescent="0.2">
      <c r="A866" t="s">
        <v>1012</v>
      </c>
    </row>
    <row r="867" spans="1:1" x14ac:dyDescent="0.2">
      <c r="A867" t="s">
        <v>1013</v>
      </c>
    </row>
    <row r="868" spans="1:1" x14ac:dyDescent="0.2">
      <c r="A868" t="s">
        <v>1014</v>
      </c>
    </row>
    <row r="869" spans="1:1" x14ac:dyDescent="0.2">
      <c r="A869" t="s">
        <v>1015</v>
      </c>
    </row>
    <row r="870" spans="1:1" x14ac:dyDescent="0.2">
      <c r="A870" t="s">
        <v>1016</v>
      </c>
    </row>
    <row r="871" spans="1:1" x14ac:dyDescent="0.2">
      <c r="A871" t="s">
        <v>1017</v>
      </c>
    </row>
    <row r="872" spans="1:1" x14ac:dyDescent="0.2">
      <c r="A872" t="s">
        <v>1018</v>
      </c>
    </row>
    <row r="873" spans="1:1" x14ac:dyDescent="0.2">
      <c r="A873" t="s">
        <v>1019</v>
      </c>
    </row>
    <row r="874" spans="1:1" x14ac:dyDescent="0.2">
      <c r="A874" t="s">
        <v>1020</v>
      </c>
    </row>
    <row r="875" spans="1:1" x14ac:dyDescent="0.2">
      <c r="A875" t="s">
        <v>1021</v>
      </c>
    </row>
    <row r="876" spans="1:1" x14ac:dyDescent="0.2">
      <c r="A876" t="s">
        <v>1022</v>
      </c>
    </row>
    <row r="877" spans="1:1" x14ac:dyDescent="0.2">
      <c r="A877" t="s">
        <v>1023</v>
      </c>
    </row>
    <row r="878" spans="1:1" x14ac:dyDescent="0.2">
      <c r="A878" t="s">
        <v>1024</v>
      </c>
    </row>
    <row r="879" spans="1:1" x14ac:dyDescent="0.2">
      <c r="A879" t="s">
        <v>1025</v>
      </c>
    </row>
    <row r="880" spans="1:1" x14ac:dyDescent="0.2">
      <c r="A880" t="s">
        <v>1026</v>
      </c>
    </row>
    <row r="881" spans="1:1" x14ac:dyDescent="0.2">
      <c r="A881" t="s">
        <v>1027</v>
      </c>
    </row>
    <row r="882" spans="1:1" x14ac:dyDescent="0.2">
      <c r="A882" t="s">
        <v>1028</v>
      </c>
    </row>
    <row r="883" spans="1:1" x14ac:dyDescent="0.2">
      <c r="A883" t="s">
        <v>1029</v>
      </c>
    </row>
    <row r="884" spans="1:1" x14ac:dyDescent="0.2">
      <c r="A884" t="s">
        <v>1030</v>
      </c>
    </row>
    <row r="885" spans="1:1" x14ac:dyDescent="0.2">
      <c r="A885" t="s">
        <v>1031</v>
      </c>
    </row>
    <row r="886" spans="1:1" x14ac:dyDescent="0.2">
      <c r="A886" t="s">
        <v>1032</v>
      </c>
    </row>
    <row r="887" spans="1:1" x14ac:dyDescent="0.2">
      <c r="A887" t="s">
        <v>1033</v>
      </c>
    </row>
    <row r="888" spans="1:1" x14ac:dyDescent="0.2">
      <c r="A888" t="s">
        <v>1034</v>
      </c>
    </row>
    <row r="889" spans="1:1" x14ac:dyDescent="0.2">
      <c r="A889" t="s">
        <v>1035</v>
      </c>
    </row>
    <row r="890" spans="1:1" x14ac:dyDescent="0.2">
      <c r="A890" t="s">
        <v>1036</v>
      </c>
    </row>
    <row r="891" spans="1:1" x14ac:dyDescent="0.2">
      <c r="A891" t="s">
        <v>1037</v>
      </c>
    </row>
    <row r="892" spans="1:1" x14ac:dyDescent="0.2">
      <c r="A892" t="s">
        <v>1038</v>
      </c>
    </row>
    <row r="893" spans="1:1" x14ac:dyDescent="0.2">
      <c r="A893" t="s">
        <v>1039</v>
      </c>
    </row>
    <row r="894" spans="1:1" x14ac:dyDescent="0.2">
      <c r="A894" t="s">
        <v>1040</v>
      </c>
    </row>
    <row r="895" spans="1:1" x14ac:dyDescent="0.2">
      <c r="A895" t="s">
        <v>1041</v>
      </c>
    </row>
    <row r="896" spans="1:1" x14ac:dyDescent="0.2">
      <c r="A896" t="s">
        <v>1042</v>
      </c>
    </row>
    <row r="897" spans="1:1" x14ac:dyDescent="0.2">
      <c r="A897" t="s">
        <v>1043</v>
      </c>
    </row>
    <row r="898" spans="1:1" x14ac:dyDescent="0.2">
      <c r="A898" t="s">
        <v>1044</v>
      </c>
    </row>
    <row r="899" spans="1:1" x14ac:dyDescent="0.2">
      <c r="A899" t="s">
        <v>1045</v>
      </c>
    </row>
    <row r="900" spans="1:1" x14ac:dyDescent="0.2">
      <c r="A900" t="s">
        <v>1046</v>
      </c>
    </row>
    <row r="901" spans="1:1" x14ac:dyDescent="0.2">
      <c r="A901" t="s">
        <v>1047</v>
      </c>
    </row>
    <row r="902" spans="1:1" x14ac:dyDescent="0.2">
      <c r="A902" t="s">
        <v>1048</v>
      </c>
    </row>
    <row r="903" spans="1:1" x14ac:dyDescent="0.2">
      <c r="A903" t="s">
        <v>1049</v>
      </c>
    </row>
    <row r="904" spans="1:1" x14ac:dyDescent="0.2">
      <c r="A904" t="s">
        <v>1050</v>
      </c>
    </row>
    <row r="905" spans="1:1" x14ac:dyDescent="0.2">
      <c r="A905" t="s">
        <v>1051</v>
      </c>
    </row>
    <row r="906" spans="1:1" x14ac:dyDescent="0.2">
      <c r="A906" t="s">
        <v>1052</v>
      </c>
    </row>
    <row r="907" spans="1:1" x14ac:dyDescent="0.2">
      <c r="A907" t="s">
        <v>1053</v>
      </c>
    </row>
    <row r="908" spans="1:1" x14ac:dyDescent="0.2">
      <c r="A908" t="s">
        <v>1054</v>
      </c>
    </row>
    <row r="909" spans="1:1" x14ac:dyDescent="0.2">
      <c r="A909" t="s">
        <v>1055</v>
      </c>
    </row>
    <row r="910" spans="1:1" x14ac:dyDescent="0.2">
      <c r="A910" t="s">
        <v>1056</v>
      </c>
    </row>
    <row r="911" spans="1:1" x14ac:dyDescent="0.2">
      <c r="A911" t="s">
        <v>1057</v>
      </c>
    </row>
    <row r="912" spans="1:1" x14ac:dyDescent="0.2">
      <c r="A912" t="s">
        <v>1058</v>
      </c>
    </row>
    <row r="913" spans="1:1" x14ac:dyDescent="0.2">
      <c r="A913" t="s">
        <v>1059</v>
      </c>
    </row>
    <row r="914" spans="1:1" x14ac:dyDescent="0.2">
      <c r="A914" t="s">
        <v>1060</v>
      </c>
    </row>
    <row r="915" spans="1:1" x14ac:dyDescent="0.2">
      <c r="A915" t="s">
        <v>1061</v>
      </c>
    </row>
    <row r="916" spans="1:1" x14ac:dyDescent="0.2">
      <c r="A916" t="s">
        <v>1062</v>
      </c>
    </row>
    <row r="917" spans="1:1" x14ac:dyDescent="0.2">
      <c r="A917" t="s">
        <v>1063</v>
      </c>
    </row>
    <row r="918" spans="1:1" x14ac:dyDescent="0.2">
      <c r="A918" t="s">
        <v>1064</v>
      </c>
    </row>
    <row r="919" spans="1:1" x14ac:dyDescent="0.2">
      <c r="A919" t="s">
        <v>1065</v>
      </c>
    </row>
    <row r="920" spans="1:1" x14ac:dyDescent="0.2">
      <c r="A920" t="s">
        <v>1066</v>
      </c>
    </row>
    <row r="921" spans="1:1" x14ac:dyDescent="0.2">
      <c r="A921" t="s">
        <v>1067</v>
      </c>
    </row>
    <row r="922" spans="1:1" x14ac:dyDescent="0.2">
      <c r="A922" t="s">
        <v>1068</v>
      </c>
    </row>
    <row r="923" spans="1:1" x14ac:dyDescent="0.2">
      <c r="A923" t="s">
        <v>1069</v>
      </c>
    </row>
    <row r="924" spans="1:1" x14ac:dyDescent="0.2">
      <c r="A924" t="s">
        <v>1070</v>
      </c>
    </row>
    <row r="925" spans="1:1" x14ac:dyDescent="0.2">
      <c r="A925" t="s">
        <v>1071</v>
      </c>
    </row>
    <row r="926" spans="1:1" x14ac:dyDescent="0.2">
      <c r="A926" t="s">
        <v>1072</v>
      </c>
    </row>
    <row r="927" spans="1:1" x14ac:dyDescent="0.2">
      <c r="A927" t="s">
        <v>1073</v>
      </c>
    </row>
    <row r="928" spans="1:1" x14ac:dyDescent="0.2">
      <c r="A928" t="s">
        <v>1074</v>
      </c>
    </row>
    <row r="929" spans="1:1" x14ac:dyDescent="0.2">
      <c r="A929" t="s">
        <v>1075</v>
      </c>
    </row>
    <row r="930" spans="1:1" x14ac:dyDescent="0.2">
      <c r="A930" t="s">
        <v>1076</v>
      </c>
    </row>
    <row r="931" spans="1:1" x14ac:dyDescent="0.2">
      <c r="A931" t="s">
        <v>1077</v>
      </c>
    </row>
    <row r="932" spans="1:1" x14ac:dyDescent="0.2">
      <c r="A932" t="s">
        <v>1078</v>
      </c>
    </row>
    <row r="933" spans="1:1" x14ac:dyDescent="0.2">
      <c r="A933" t="s">
        <v>1079</v>
      </c>
    </row>
    <row r="934" spans="1:1" x14ac:dyDescent="0.2">
      <c r="A934" t="s">
        <v>1080</v>
      </c>
    </row>
    <row r="935" spans="1:1" x14ac:dyDescent="0.2">
      <c r="A935" t="s">
        <v>1081</v>
      </c>
    </row>
    <row r="936" spans="1:1" x14ac:dyDescent="0.2">
      <c r="A936" t="s">
        <v>1082</v>
      </c>
    </row>
    <row r="937" spans="1:1" x14ac:dyDescent="0.2">
      <c r="A937" t="s">
        <v>1083</v>
      </c>
    </row>
    <row r="938" spans="1:1" x14ac:dyDescent="0.2">
      <c r="A938" t="s">
        <v>1084</v>
      </c>
    </row>
    <row r="939" spans="1:1" x14ac:dyDescent="0.2">
      <c r="A939" t="s">
        <v>1085</v>
      </c>
    </row>
    <row r="940" spans="1:1" x14ac:dyDescent="0.2">
      <c r="A940" t="s">
        <v>1086</v>
      </c>
    </row>
    <row r="941" spans="1:1" x14ac:dyDescent="0.2">
      <c r="A941" t="s">
        <v>1087</v>
      </c>
    </row>
    <row r="942" spans="1:1" x14ac:dyDescent="0.2">
      <c r="A942" t="s">
        <v>1088</v>
      </c>
    </row>
    <row r="943" spans="1:1" x14ac:dyDescent="0.2">
      <c r="A943" t="s">
        <v>1089</v>
      </c>
    </row>
    <row r="944" spans="1:1" x14ac:dyDescent="0.2">
      <c r="A944" t="s">
        <v>1090</v>
      </c>
    </row>
    <row r="945" spans="1:1" x14ac:dyDescent="0.2">
      <c r="A945" t="s">
        <v>1091</v>
      </c>
    </row>
    <row r="946" spans="1:1" x14ac:dyDescent="0.2">
      <c r="A946" t="s">
        <v>1092</v>
      </c>
    </row>
    <row r="947" spans="1:1" x14ac:dyDescent="0.2">
      <c r="A947" t="s">
        <v>1093</v>
      </c>
    </row>
    <row r="948" spans="1:1" x14ac:dyDescent="0.2">
      <c r="A948" t="s">
        <v>1094</v>
      </c>
    </row>
    <row r="949" spans="1:1" x14ac:dyDescent="0.2">
      <c r="A949" t="s">
        <v>1095</v>
      </c>
    </row>
    <row r="950" spans="1:1" x14ac:dyDescent="0.2">
      <c r="A950" t="s">
        <v>1096</v>
      </c>
    </row>
    <row r="951" spans="1:1" x14ac:dyDescent="0.2">
      <c r="A951" t="s">
        <v>1097</v>
      </c>
    </row>
    <row r="952" spans="1:1" x14ac:dyDescent="0.2">
      <c r="A952" t="s">
        <v>1098</v>
      </c>
    </row>
    <row r="953" spans="1:1" x14ac:dyDescent="0.2">
      <c r="A953" t="s">
        <v>1099</v>
      </c>
    </row>
    <row r="954" spans="1:1" x14ac:dyDescent="0.2">
      <c r="A954" t="s">
        <v>1100</v>
      </c>
    </row>
    <row r="955" spans="1:1" x14ac:dyDescent="0.2">
      <c r="A955" t="s">
        <v>1101</v>
      </c>
    </row>
    <row r="956" spans="1:1" x14ac:dyDescent="0.2">
      <c r="A956" t="s">
        <v>1102</v>
      </c>
    </row>
    <row r="957" spans="1:1" x14ac:dyDescent="0.2">
      <c r="A957" t="s">
        <v>1103</v>
      </c>
    </row>
    <row r="958" spans="1:1" x14ac:dyDescent="0.2">
      <c r="A958" t="s">
        <v>1104</v>
      </c>
    </row>
    <row r="959" spans="1:1" x14ac:dyDescent="0.2">
      <c r="A959" t="s">
        <v>1105</v>
      </c>
    </row>
    <row r="960" spans="1:1" x14ac:dyDescent="0.2">
      <c r="A960" t="s">
        <v>1106</v>
      </c>
    </row>
    <row r="961" spans="1:1" x14ac:dyDescent="0.2">
      <c r="A961" t="s">
        <v>1107</v>
      </c>
    </row>
    <row r="962" spans="1:1" x14ac:dyDescent="0.2">
      <c r="A962" t="s">
        <v>1108</v>
      </c>
    </row>
    <row r="963" spans="1:1" x14ac:dyDescent="0.2">
      <c r="A963" t="s">
        <v>1109</v>
      </c>
    </row>
    <row r="964" spans="1:1" x14ac:dyDescent="0.2">
      <c r="A964" t="s">
        <v>1110</v>
      </c>
    </row>
    <row r="965" spans="1:1" x14ac:dyDescent="0.2">
      <c r="A965" t="s">
        <v>1111</v>
      </c>
    </row>
    <row r="966" spans="1:1" x14ac:dyDescent="0.2">
      <c r="A966" t="s">
        <v>1112</v>
      </c>
    </row>
    <row r="967" spans="1:1" x14ac:dyDescent="0.2">
      <c r="A967" t="s">
        <v>1113</v>
      </c>
    </row>
    <row r="968" spans="1:1" x14ac:dyDescent="0.2">
      <c r="A968" t="s">
        <v>1114</v>
      </c>
    </row>
    <row r="969" spans="1:1" x14ac:dyDescent="0.2">
      <c r="A969" t="s">
        <v>1115</v>
      </c>
    </row>
    <row r="970" spans="1:1" x14ac:dyDescent="0.2">
      <c r="A970" t="s">
        <v>1116</v>
      </c>
    </row>
    <row r="971" spans="1:1" x14ac:dyDescent="0.2">
      <c r="A971" t="s">
        <v>1117</v>
      </c>
    </row>
    <row r="972" spans="1:1" x14ac:dyDescent="0.2">
      <c r="A972" t="s">
        <v>1118</v>
      </c>
    </row>
    <row r="973" spans="1:1" x14ac:dyDescent="0.2">
      <c r="A973" t="s">
        <v>1119</v>
      </c>
    </row>
    <row r="974" spans="1:1" x14ac:dyDescent="0.2">
      <c r="A974" t="s">
        <v>1120</v>
      </c>
    </row>
    <row r="975" spans="1:1" x14ac:dyDescent="0.2">
      <c r="A975" t="s">
        <v>1121</v>
      </c>
    </row>
    <row r="976" spans="1:1" x14ac:dyDescent="0.2">
      <c r="A976" t="s">
        <v>1122</v>
      </c>
    </row>
    <row r="977" spans="1:1" x14ac:dyDescent="0.2">
      <c r="A977" t="s">
        <v>1123</v>
      </c>
    </row>
    <row r="978" spans="1:1" x14ac:dyDescent="0.2">
      <c r="A978" t="s">
        <v>1124</v>
      </c>
    </row>
    <row r="979" spans="1:1" x14ac:dyDescent="0.2">
      <c r="A979" t="s">
        <v>1125</v>
      </c>
    </row>
    <row r="980" spans="1:1" x14ac:dyDescent="0.2">
      <c r="A980" t="s">
        <v>1126</v>
      </c>
    </row>
    <row r="981" spans="1:1" x14ac:dyDescent="0.2">
      <c r="A981" t="s">
        <v>1127</v>
      </c>
    </row>
    <row r="982" spans="1:1" x14ac:dyDescent="0.2">
      <c r="A982" t="s">
        <v>1128</v>
      </c>
    </row>
    <row r="983" spans="1:1" x14ac:dyDescent="0.2">
      <c r="A983" t="s">
        <v>1129</v>
      </c>
    </row>
    <row r="984" spans="1:1" x14ac:dyDescent="0.2">
      <c r="A984" t="s">
        <v>1130</v>
      </c>
    </row>
    <row r="985" spans="1:1" x14ac:dyDescent="0.2">
      <c r="A985" t="s">
        <v>1131</v>
      </c>
    </row>
    <row r="986" spans="1:1" x14ac:dyDescent="0.2">
      <c r="A986" t="s">
        <v>1132</v>
      </c>
    </row>
    <row r="987" spans="1:1" x14ac:dyDescent="0.2">
      <c r="A987" t="s">
        <v>1133</v>
      </c>
    </row>
    <row r="988" spans="1:1" x14ac:dyDescent="0.2">
      <c r="A988" t="s">
        <v>1134</v>
      </c>
    </row>
    <row r="989" spans="1:1" x14ac:dyDescent="0.2">
      <c r="A989" t="s">
        <v>1135</v>
      </c>
    </row>
    <row r="990" spans="1:1" x14ac:dyDescent="0.2">
      <c r="A990" t="s">
        <v>1136</v>
      </c>
    </row>
    <row r="991" spans="1:1" x14ac:dyDescent="0.2">
      <c r="A991" t="s">
        <v>1137</v>
      </c>
    </row>
    <row r="992" spans="1:1" x14ac:dyDescent="0.2">
      <c r="A992" t="s">
        <v>1138</v>
      </c>
    </row>
    <row r="993" spans="1:1" x14ac:dyDescent="0.2">
      <c r="A993" t="s">
        <v>1139</v>
      </c>
    </row>
    <row r="994" spans="1:1" x14ac:dyDescent="0.2">
      <c r="A994" t="s">
        <v>1140</v>
      </c>
    </row>
    <row r="995" spans="1:1" x14ac:dyDescent="0.2">
      <c r="A995" t="s">
        <v>1141</v>
      </c>
    </row>
    <row r="996" spans="1:1" x14ac:dyDescent="0.2">
      <c r="A996" t="s">
        <v>1142</v>
      </c>
    </row>
    <row r="997" spans="1:1" x14ac:dyDescent="0.2">
      <c r="A997" t="s">
        <v>1143</v>
      </c>
    </row>
    <row r="998" spans="1:1" x14ac:dyDescent="0.2">
      <c r="A998" t="s">
        <v>1144</v>
      </c>
    </row>
    <row r="999" spans="1:1" x14ac:dyDescent="0.2">
      <c r="A999" t="s">
        <v>1145</v>
      </c>
    </row>
    <row r="1000" spans="1:1" x14ac:dyDescent="0.2">
      <c r="A1000" t="s">
        <v>1146</v>
      </c>
    </row>
    <row r="1001" spans="1:1" x14ac:dyDescent="0.2">
      <c r="A1001" t="s">
        <v>1147</v>
      </c>
    </row>
    <row r="1002" spans="1:1" x14ac:dyDescent="0.2">
      <c r="A1002" t="s">
        <v>1148</v>
      </c>
    </row>
    <row r="1003" spans="1:1" x14ac:dyDescent="0.2">
      <c r="A1003" t="s">
        <v>1149</v>
      </c>
    </row>
    <row r="1004" spans="1:1" x14ac:dyDescent="0.2">
      <c r="A1004" t="s">
        <v>1150</v>
      </c>
    </row>
    <row r="1005" spans="1:1" x14ac:dyDescent="0.2">
      <c r="A1005" t="s">
        <v>1151</v>
      </c>
    </row>
    <row r="1006" spans="1:1" x14ac:dyDescent="0.2">
      <c r="A1006" t="s">
        <v>1152</v>
      </c>
    </row>
    <row r="1007" spans="1:1" x14ac:dyDescent="0.2">
      <c r="A1007" t="s">
        <v>1153</v>
      </c>
    </row>
    <row r="1008" spans="1:1" x14ac:dyDescent="0.2">
      <c r="A1008" t="s">
        <v>1154</v>
      </c>
    </row>
    <row r="1009" spans="1:1" x14ac:dyDescent="0.2">
      <c r="A1009" t="s">
        <v>1155</v>
      </c>
    </row>
    <row r="1010" spans="1:1" x14ac:dyDescent="0.2">
      <c r="A1010" t="s">
        <v>1156</v>
      </c>
    </row>
    <row r="1011" spans="1:1" x14ac:dyDescent="0.2">
      <c r="A1011" t="s">
        <v>1157</v>
      </c>
    </row>
    <row r="1012" spans="1:1" x14ac:dyDescent="0.2">
      <c r="A1012" t="s">
        <v>1158</v>
      </c>
    </row>
    <row r="1013" spans="1:1" x14ac:dyDescent="0.2">
      <c r="A1013" t="s">
        <v>1159</v>
      </c>
    </row>
    <row r="1014" spans="1:1" x14ac:dyDescent="0.2">
      <c r="A1014" t="s">
        <v>1160</v>
      </c>
    </row>
    <row r="1015" spans="1:1" x14ac:dyDescent="0.2">
      <c r="A1015" t="s">
        <v>1161</v>
      </c>
    </row>
    <row r="1016" spans="1:1" x14ac:dyDescent="0.2">
      <c r="A1016" t="s">
        <v>1162</v>
      </c>
    </row>
    <row r="1017" spans="1:1" x14ac:dyDescent="0.2">
      <c r="A1017" t="s">
        <v>1163</v>
      </c>
    </row>
    <row r="1018" spans="1:1" x14ac:dyDescent="0.2">
      <c r="A1018" t="s">
        <v>1164</v>
      </c>
    </row>
    <row r="1019" spans="1:1" x14ac:dyDescent="0.2">
      <c r="A1019" t="s">
        <v>1165</v>
      </c>
    </row>
    <row r="1020" spans="1:1" x14ac:dyDescent="0.2">
      <c r="A1020" t="s">
        <v>1166</v>
      </c>
    </row>
    <row r="1021" spans="1:1" x14ac:dyDescent="0.2">
      <c r="A1021" t="s">
        <v>1167</v>
      </c>
    </row>
    <row r="1022" spans="1:1" x14ac:dyDescent="0.2">
      <c r="A1022" t="s">
        <v>1168</v>
      </c>
    </row>
    <row r="1023" spans="1:1" x14ac:dyDescent="0.2">
      <c r="A1023" t="s">
        <v>1169</v>
      </c>
    </row>
    <row r="1024" spans="1:1" x14ac:dyDescent="0.2">
      <c r="A1024" t="s">
        <v>1170</v>
      </c>
    </row>
    <row r="1025" spans="1:1" x14ac:dyDescent="0.2">
      <c r="A1025" t="s">
        <v>1171</v>
      </c>
    </row>
    <row r="1026" spans="1:1" x14ac:dyDescent="0.2">
      <c r="A1026" t="s">
        <v>1172</v>
      </c>
    </row>
    <row r="1027" spans="1:1" x14ac:dyDescent="0.2">
      <c r="A1027" t="s">
        <v>1173</v>
      </c>
    </row>
    <row r="1028" spans="1:1" x14ac:dyDescent="0.2">
      <c r="A1028" t="s">
        <v>1174</v>
      </c>
    </row>
    <row r="1029" spans="1:1" x14ac:dyDescent="0.2">
      <c r="A1029" t="s">
        <v>1175</v>
      </c>
    </row>
    <row r="1030" spans="1:1" x14ac:dyDescent="0.2">
      <c r="A1030" t="s">
        <v>1176</v>
      </c>
    </row>
    <row r="1031" spans="1:1" x14ac:dyDescent="0.2">
      <c r="A1031" t="s">
        <v>1177</v>
      </c>
    </row>
    <row r="1032" spans="1:1" x14ac:dyDescent="0.2">
      <c r="A1032" t="s">
        <v>1178</v>
      </c>
    </row>
    <row r="1033" spans="1:1" x14ac:dyDescent="0.2">
      <c r="A1033" t="s">
        <v>1179</v>
      </c>
    </row>
    <row r="1034" spans="1:1" x14ac:dyDescent="0.2">
      <c r="A1034" t="s">
        <v>1180</v>
      </c>
    </row>
    <row r="1035" spans="1:1" x14ac:dyDescent="0.2">
      <c r="A1035" t="s">
        <v>1181</v>
      </c>
    </row>
    <row r="1036" spans="1:1" x14ac:dyDescent="0.2">
      <c r="A1036" t="s">
        <v>1182</v>
      </c>
    </row>
    <row r="1037" spans="1:1" x14ac:dyDescent="0.2">
      <c r="A1037" t="s">
        <v>1183</v>
      </c>
    </row>
    <row r="1038" spans="1:1" x14ac:dyDescent="0.2">
      <c r="A1038" t="s">
        <v>1184</v>
      </c>
    </row>
    <row r="1039" spans="1:1" x14ac:dyDescent="0.2">
      <c r="A1039" t="s">
        <v>1185</v>
      </c>
    </row>
    <row r="1040" spans="1:1" x14ac:dyDescent="0.2">
      <c r="A1040" t="s">
        <v>1186</v>
      </c>
    </row>
    <row r="1041" spans="1:1" x14ac:dyDescent="0.2">
      <c r="A1041" t="s">
        <v>1187</v>
      </c>
    </row>
    <row r="1042" spans="1:1" x14ac:dyDescent="0.2">
      <c r="A1042" t="s">
        <v>1188</v>
      </c>
    </row>
    <row r="1043" spans="1:1" x14ac:dyDescent="0.2">
      <c r="A1043" t="s">
        <v>1189</v>
      </c>
    </row>
    <row r="1044" spans="1:1" x14ac:dyDescent="0.2">
      <c r="A1044" t="s">
        <v>1190</v>
      </c>
    </row>
    <row r="1045" spans="1:1" x14ac:dyDescent="0.2">
      <c r="A1045" t="s">
        <v>1191</v>
      </c>
    </row>
    <row r="1046" spans="1:1" x14ac:dyDescent="0.2">
      <c r="A1046" t="s">
        <v>1192</v>
      </c>
    </row>
    <row r="1047" spans="1:1" x14ac:dyDescent="0.2">
      <c r="A1047" t="s">
        <v>1193</v>
      </c>
    </row>
    <row r="1048" spans="1:1" x14ac:dyDescent="0.2">
      <c r="A1048" t="s">
        <v>1194</v>
      </c>
    </row>
    <row r="1049" spans="1:1" x14ac:dyDescent="0.2">
      <c r="A1049" t="s">
        <v>1195</v>
      </c>
    </row>
    <row r="1050" spans="1:1" x14ac:dyDescent="0.2">
      <c r="A1050" t="s">
        <v>1196</v>
      </c>
    </row>
    <row r="1051" spans="1:1" x14ac:dyDescent="0.2">
      <c r="A1051" t="s">
        <v>1197</v>
      </c>
    </row>
    <row r="1052" spans="1:1" x14ac:dyDescent="0.2">
      <c r="A1052" t="s">
        <v>1198</v>
      </c>
    </row>
    <row r="1053" spans="1:1" x14ac:dyDescent="0.2">
      <c r="A1053" t="s">
        <v>1199</v>
      </c>
    </row>
    <row r="1054" spans="1:1" x14ac:dyDescent="0.2">
      <c r="A1054" t="s">
        <v>1200</v>
      </c>
    </row>
    <row r="1055" spans="1:1" x14ac:dyDescent="0.2">
      <c r="A1055" t="s">
        <v>1201</v>
      </c>
    </row>
    <row r="1056" spans="1:1" x14ac:dyDescent="0.2">
      <c r="A1056" t="s">
        <v>1202</v>
      </c>
    </row>
    <row r="1057" spans="1:1" x14ac:dyDescent="0.2">
      <c r="A1057" t="s">
        <v>1203</v>
      </c>
    </row>
    <row r="1058" spans="1:1" x14ac:dyDescent="0.2">
      <c r="A1058" t="s">
        <v>1204</v>
      </c>
    </row>
    <row r="1059" spans="1:1" x14ac:dyDescent="0.2">
      <c r="A1059" t="s">
        <v>1205</v>
      </c>
    </row>
    <row r="1060" spans="1:1" x14ac:dyDescent="0.2">
      <c r="A1060" t="s">
        <v>1206</v>
      </c>
    </row>
    <row r="1061" spans="1:1" x14ac:dyDescent="0.2">
      <c r="A1061" t="s">
        <v>1207</v>
      </c>
    </row>
    <row r="1062" spans="1:1" x14ac:dyDescent="0.2">
      <c r="A1062" t="s">
        <v>1208</v>
      </c>
    </row>
    <row r="1063" spans="1:1" x14ac:dyDescent="0.2">
      <c r="A1063" t="s">
        <v>1209</v>
      </c>
    </row>
    <row r="1064" spans="1:1" x14ac:dyDescent="0.2">
      <c r="A1064" t="s">
        <v>1210</v>
      </c>
    </row>
    <row r="1065" spans="1:1" x14ac:dyDescent="0.2">
      <c r="A1065" t="s">
        <v>1211</v>
      </c>
    </row>
    <row r="1066" spans="1:1" x14ac:dyDescent="0.2">
      <c r="A1066" t="s">
        <v>1212</v>
      </c>
    </row>
    <row r="1067" spans="1:1" x14ac:dyDescent="0.2">
      <c r="A1067" t="s">
        <v>1213</v>
      </c>
    </row>
    <row r="1068" spans="1:1" x14ac:dyDescent="0.2">
      <c r="A1068" t="s">
        <v>1214</v>
      </c>
    </row>
    <row r="1069" spans="1:1" x14ac:dyDescent="0.2">
      <c r="A1069" t="s">
        <v>1215</v>
      </c>
    </row>
    <row r="1070" spans="1:1" x14ac:dyDescent="0.2">
      <c r="A1070" t="s">
        <v>1216</v>
      </c>
    </row>
    <row r="1071" spans="1:1" x14ac:dyDescent="0.2">
      <c r="A1071" t="s">
        <v>1217</v>
      </c>
    </row>
    <row r="1072" spans="1:1" x14ac:dyDescent="0.2">
      <c r="A1072" t="s">
        <v>1218</v>
      </c>
    </row>
    <row r="1073" spans="1:1" x14ac:dyDescent="0.2">
      <c r="A1073" t="s">
        <v>1219</v>
      </c>
    </row>
    <row r="1074" spans="1:1" x14ac:dyDescent="0.2">
      <c r="A1074" t="s">
        <v>1220</v>
      </c>
    </row>
    <row r="1075" spans="1:1" x14ac:dyDescent="0.2">
      <c r="A1075" t="s">
        <v>1221</v>
      </c>
    </row>
    <row r="1076" spans="1:1" x14ac:dyDescent="0.2">
      <c r="A1076" t="s">
        <v>1222</v>
      </c>
    </row>
    <row r="1077" spans="1:1" x14ac:dyDescent="0.2">
      <c r="A1077" t="s">
        <v>1223</v>
      </c>
    </row>
    <row r="1078" spans="1:1" x14ac:dyDescent="0.2">
      <c r="A1078" t="s">
        <v>1224</v>
      </c>
    </row>
    <row r="1079" spans="1:1" x14ac:dyDescent="0.2">
      <c r="A1079" t="s">
        <v>1225</v>
      </c>
    </row>
    <row r="1080" spans="1:1" x14ac:dyDescent="0.2">
      <c r="A1080" t="s">
        <v>1226</v>
      </c>
    </row>
    <row r="1081" spans="1:1" x14ac:dyDescent="0.2">
      <c r="A1081" t="s">
        <v>1227</v>
      </c>
    </row>
    <row r="1082" spans="1:1" x14ac:dyDescent="0.2">
      <c r="A1082" t="s">
        <v>1228</v>
      </c>
    </row>
    <row r="1083" spans="1:1" x14ac:dyDescent="0.2">
      <c r="A1083" t="s">
        <v>1229</v>
      </c>
    </row>
    <row r="1084" spans="1:1" x14ac:dyDescent="0.2">
      <c r="A1084" t="s">
        <v>1230</v>
      </c>
    </row>
    <row r="1085" spans="1:1" x14ac:dyDescent="0.2">
      <c r="A1085" t="s">
        <v>1231</v>
      </c>
    </row>
    <row r="1086" spans="1:1" x14ac:dyDescent="0.2">
      <c r="A1086" t="s">
        <v>1232</v>
      </c>
    </row>
    <row r="1087" spans="1:1" x14ac:dyDescent="0.2">
      <c r="A1087" t="s">
        <v>1233</v>
      </c>
    </row>
    <row r="1088" spans="1:1" x14ac:dyDescent="0.2">
      <c r="A1088" t="s">
        <v>1234</v>
      </c>
    </row>
    <row r="1089" spans="1:1" x14ac:dyDescent="0.2">
      <c r="A1089" t="s">
        <v>1235</v>
      </c>
    </row>
    <row r="1090" spans="1:1" x14ac:dyDescent="0.2">
      <c r="A1090" t="s">
        <v>1236</v>
      </c>
    </row>
    <row r="1091" spans="1:1" x14ac:dyDescent="0.2">
      <c r="A1091" t="s">
        <v>1237</v>
      </c>
    </row>
    <row r="1092" spans="1:1" x14ac:dyDescent="0.2">
      <c r="A1092" t="s">
        <v>1238</v>
      </c>
    </row>
    <row r="1093" spans="1:1" x14ac:dyDescent="0.2">
      <c r="A1093" t="s">
        <v>1239</v>
      </c>
    </row>
    <row r="1094" spans="1:1" x14ac:dyDescent="0.2">
      <c r="A1094" t="s">
        <v>1240</v>
      </c>
    </row>
    <row r="1095" spans="1:1" x14ac:dyDescent="0.2">
      <c r="A1095" t="s">
        <v>1241</v>
      </c>
    </row>
    <row r="1096" spans="1:1" x14ac:dyDescent="0.2">
      <c r="A1096" t="s">
        <v>1242</v>
      </c>
    </row>
    <row r="1097" spans="1:1" x14ac:dyDescent="0.2">
      <c r="A1097" t="s">
        <v>1243</v>
      </c>
    </row>
    <row r="1098" spans="1:1" x14ac:dyDescent="0.2">
      <c r="A1098" t="s">
        <v>1244</v>
      </c>
    </row>
    <row r="1099" spans="1:1" x14ac:dyDescent="0.2">
      <c r="A1099" t="s">
        <v>1245</v>
      </c>
    </row>
    <row r="1100" spans="1:1" x14ac:dyDescent="0.2">
      <c r="A1100" t="s">
        <v>1246</v>
      </c>
    </row>
    <row r="1101" spans="1:1" x14ac:dyDescent="0.2">
      <c r="A1101" t="s">
        <v>1247</v>
      </c>
    </row>
    <row r="1102" spans="1:1" x14ac:dyDescent="0.2">
      <c r="A1102" t="s">
        <v>1248</v>
      </c>
    </row>
    <row r="1103" spans="1:1" x14ac:dyDescent="0.2">
      <c r="A1103" t="s">
        <v>1249</v>
      </c>
    </row>
    <row r="1104" spans="1:1" x14ac:dyDescent="0.2">
      <c r="A1104" t="s">
        <v>1250</v>
      </c>
    </row>
    <row r="1105" spans="1:1" x14ac:dyDescent="0.2">
      <c r="A1105" t="s">
        <v>1251</v>
      </c>
    </row>
    <row r="1106" spans="1:1" x14ac:dyDescent="0.2">
      <c r="A1106" t="s">
        <v>1252</v>
      </c>
    </row>
    <row r="1107" spans="1:1" x14ac:dyDescent="0.2">
      <c r="A1107" t="s">
        <v>1253</v>
      </c>
    </row>
    <row r="1108" spans="1:1" x14ac:dyDescent="0.2">
      <c r="A1108" t="s">
        <v>1254</v>
      </c>
    </row>
    <row r="1109" spans="1:1" x14ac:dyDescent="0.2">
      <c r="A1109" t="s">
        <v>1255</v>
      </c>
    </row>
    <row r="1110" spans="1:1" x14ac:dyDescent="0.2">
      <c r="A1110" t="s">
        <v>1256</v>
      </c>
    </row>
    <row r="1111" spans="1:1" x14ac:dyDescent="0.2">
      <c r="A1111" t="s">
        <v>1257</v>
      </c>
    </row>
    <row r="1112" spans="1:1" x14ac:dyDescent="0.2">
      <c r="A1112" t="s">
        <v>1258</v>
      </c>
    </row>
    <row r="1113" spans="1:1" x14ac:dyDescent="0.2">
      <c r="A1113" t="s">
        <v>1259</v>
      </c>
    </row>
    <row r="1114" spans="1:1" x14ac:dyDescent="0.2">
      <c r="A1114" t="s">
        <v>1260</v>
      </c>
    </row>
    <row r="1115" spans="1:1" x14ac:dyDescent="0.2">
      <c r="A1115" t="s">
        <v>1261</v>
      </c>
    </row>
    <row r="1116" spans="1:1" x14ac:dyDescent="0.2">
      <c r="A1116" t="s">
        <v>1262</v>
      </c>
    </row>
    <row r="1117" spans="1:1" x14ac:dyDescent="0.2">
      <c r="A1117" t="s">
        <v>1263</v>
      </c>
    </row>
    <row r="1118" spans="1:1" x14ac:dyDescent="0.2">
      <c r="A1118" t="s">
        <v>1264</v>
      </c>
    </row>
    <row r="1119" spans="1:1" x14ac:dyDescent="0.2">
      <c r="A1119" t="s">
        <v>1265</v>
      </c>
    </row>
    <row r="1120" spans="1:1" x14ac:dyDescent="0.2">
      <c r="A1120" t="s">
        <v>1266</v>
      </c>
    </row>
    <row r="1121" spans="1:1" x14ac:dyDescent="0.2">
      <c r="A1121" t="s">
        <v>1267</v>
      </c>
    </row>
    <row r="1122" spans="1:1" x14ac:dyDescent="0.2">
      <c r="A1122" t="s">
        <v>1268</v>
      </c>
    </row>
    <row r="1123" spans="1:1" x14ac:dyDescent="0.2">
      <c r="A1123" t="s">
        <v>1269</v>
      </c>
    </row>
    <row r="1124" spans="1:1" x14ac:dyDescent="0.2">
      <c r="A1124" t="s">
        <v>1270</v>
      </c>
    </row>
    <row r="1125" spans="1:1" x14ac:dyDescent="0.2">
      <c r="A1125" t="s">
        <v>1271</v>
      </c>
    </row>
    <row r="1126" spans="1:1" x14ac:dyDescent="0.2">
      <c r="A1126" t="s">
        <v>1272</v>
      </c>
    </row>
    <row r="1127" spans="1:1" x14ac:dyDescent="0.2">
      <c r="A1127" t="s">
        <v>1273</v>
      </c>
    </row>
    <row r="1128" spans="1:1" x14ac:dyDescent="0.2">
      <c r="A1128" t="s">
        <v>1274</v>
      </c>
    </row>
    <row r="1129" spans="1:1" x14ac:dyDescent="0.2">
      <c r="A1129" t="s">
        <v>1275</v>
      </c>
    </row>
    <row r="1130" spans="1:1" x14ac:dyDescent="0.2">
      <c r="A1130" t="s">
        <v>1276</v>
      </c>
    </row>
    <row r="1131" spans="1:1" x14ac:dyDescent="0.2">
      <c r="A1131" t="s">
        <v>1277</v>
      </c>
    </row>
    <row r="1132" spans="1:1" x14ac:dyDescent="0.2">
      <c r="A1132" t="s">
        <v>1278</v>
      </c>
    </row>
    <row r="1133" spans="1:1" x14ac:dyDescent="0.2">
      <c r="A1133" t="s">
        <v>1279</v>
      </c>
    </row>
    <row r="1134" spans="1:1" x14ac:dyDescent="0.2">
      <c r="A1134" t="s">
        <v>1280</v>
      </c>
    </row>
    <row r="1135" spans="1:1" x14ac:dyDescent="0.2">
      <c r="A1135" t="s">
        <v>1281</v>
      </c>
    </row>
    <row r="1136" spans="1:1" x14ac:dyDescent="0.2">
      <c r="A1136" t="s">
        <v>1282</v>
      </c>
    </row>
    <row r="1137" spans="1:1" x14ac:dyDescent="0.2">
      <c r="A1137" t="s">
        <v>1283</v>
      </c>
    </row>
    <row r="1138" spans="1:1" x14ac:dyDescent="0.2">
      <c r="A1138" t="s">
        <v>1284</v>
      </c>
    </row>
    <row r="1139" spans="1:1" x14ac:dyDescent="0.2">
      <c r="A1139" t="s">
        <v>1285</v>
      </c>
    </row>
    <row r="1140" spans="1:1" x14ac:dyDescent="0.2">
      <c r="A1140" t="s">
        <v>1286</v>
      </c>
    </row>
    <row r="1141" spans="1:1" x14ac:dyDescent="0.2">
      <c r="A1141" t="s">
        <v>1287</v>
      </c>
    </row>
    <row r="1142" spans="1:1" x14ac:dyDescent="0.2">
      <c r="A1142" t="s">
        <v>1288</v>
      </c>
    </row>
    <row r="1143" spans="1:1" x14ac:dyDescent="0.2">
      <c r="A1143" t="s">
        <v>1289</v>
      </c>
    </row>
    <row r="1144" spans="1:1" x14ac:dyDescent="0.2">
      <c r="A1144" t="s">
        <v>1290</v>
      </c>
    </row>
    <row r="1145" spans="1:1" x14ac:dyDescent="0.2">
      <c r="A1145" t="s">
        <v>1291</v>
      </c>
    </row>
    <row r="1146" spans="1:1" x14ac:dyDescent="0.2">
      <c r="A1146" t="s">
        <v>1292</v>
      </c>
    </row>
    <row r="1147" spans="1:1" x14ac:dyDescent="0.2">
      <c r="A1147" t="s">
        <v>1293</v>
      </c>
    </row>
    <row r="1148" spans="1:1" x14ac:dyDescent="0.2">
      <c r="A1148" t="s">
        <v>1294</v>
      </c>
    </row>
    <row r="1149" spans="1:1" x14ac:dyDescent="0.2">
      <c r="A1149" t="s">
        <v>1295</v>
      </c>
    </row>
    <row r="1150" spans="1:1" x14ac:dyDescent="0.2">
      <c r="A1150" t="s">
        <v>1296</v>
      </c>
    </row>
    <row r="1151" spans="1:1" x14ac:dyDescent="0.2">
      <c r="A1151" t="s">
        <v>1297</v>
      </c>
    </row>
    <row r="1152" spans="1:1" x14ac:dyDescent="0.2">
      <c r="A1152" t="s">
        <v>1298</v>
      </c>
    </row>
    <row r="1153" spans="1:1" x14ac:dyDescent="0.2">
      <c r="A1153" t="s">
        <v>1299</v>
      </c>
    </row>
    <row r="1154" spans="1:1" x14ac:dyDescent="0.2">
      <c r="A1154" t="s">
        <v>1300</v>
      </c>
    </row>
    <row r="1155" spans="1:1" x14ac:dyDescent="0.2">
      <c r="A1155" t="s">
        <v>1301</v>
      </c>
    </row>
    <row r="1156" spans="1:1" x14ac:dyDescent="0.2">
      <c r="A1156" t="s">
        <v>1302</v>
      </c>
    </row>
    <row r="1157" spans="1:1" x14ac:dyDescent="0.2">
      <c r="A1157" t="s">
        <v>1303</v>
      </c>
    </row>
    <row r="1158" spans="1:1" x14ac:dyDescent="0.2">
      <c r="A1158" t="s">
        <v>1304</v>
      </c>
    </row>
    <row r="1159" spans="1:1" x14ac:dyDescent="0.2">
      <c r="A1159" t="s">
        <v>1305</v>
      </c>
    </row>
    <row r="1160" spans="1:1" x14ac:dyDescent="0.2">
      <c r="A1160" t="s">
        <v>1306</v>
      </c>
    </row>
    <row r="1161" spans="1:1" x14ac:dyDescent="0.2">
      <c r="A1161" t="s">
        <v>1307</v>
      </c>
    </row>
    <row r="1162" spans="1:1" x14ac:dyDescent="0.2">
      <c r="A1162" t="s">
        <v>1308</v>
      </c>
    </row>
    <row r="1163" spans="1:1" x14ac:dyDescent="0.2">
      <c r="A1163" t="s">
        <v>1309</v>
      </c>
    </row>
    <row r="1164" spans="1:1" x14ac:dyDescent="0.2">
      <c r="A1164" t="s">
        <v>1310</v>
      </c>
    </row>
    <row r="1165" spans="1:1" x14ac:dyDescent="0.2">
      <c r="A1165" t="s">
        <v>1311</v>
      </c>
    </row>
    <row r="1166" spans="1:1" x14ac:dyDescent="0.2">
      <c r="A1166" t="s">
        <v>1312</v>
      </c>
    </row>
    <row r="1167" spans="1:1" x14ac:dyDescent="0.2">
      <c r="A1167" t="s">
        <v>1313</v>
      </c>
    </row>
    <row r="1168" spans="1:1" x14ac:dyDescent="0.2">
      <c r="A1168" t="s">
        <v>1314</v>
      </c>
    </row>
    <row r="1169" spans="1:1" x14ac:dyDescent="0.2">
      <c r="A1169" t="s">
        <v>1315</v>
      </c>
    </row>
    <row r="1170" spans="1:1" x14ac:dyDescent="0.2">
      <c r="A1170" t="s">
        <v>1316</v>
      </c>
    </row>
    <row r="1171" spans="1:1" x14ac:dyDescent="0.2">
      <c r="A1171" t="s">
        <v>1317</v>
      </c>
    </row>
    <row r="1172" spans="1:1" x14ac:dyDescent="0.2">
      <c r="A1172" t="s">
        <v>1318</v>
      </c>
    </row>
    <row r="1173" spans="1:1" x14ac:dyDescent="0.2">
      <c r="A1173" t="s">
        <v>1319</v>
      </c>
    </row>
    <row r="1174" spans="1:1" x14ac:dyDescent="0.2">
      <c r="A1174" t="s">
        <v>1320</v>
      </c>
    </row>
    <row r="1175" spans="1:1" x14ac:dyDescent="0.2">
      <c r="A1175" t="s">
        <v>1321</v>
      </c>
    </row>
    <row r="1176" spans="1:1" x14ac:dyDescent="0.2">
      <c r="A1176" t="s">
        <v>1322</v>
      </c>
    </row>
    <row r="1177" spans="1:1" x14ac:dyDescent="0.2">
      <c r="A1177" t="s">
        <v>1323</v>
      </c>
    </row>
    <row r="1178" spans="1:1" x14ac:dyDescent="0.2">
      <c r="A1178" t="s">
        <v>1324</v>
      </c>
    </row>
    <row r="1179" spans="1:1" x14ac:dyDescent="0.2">
      <c r="A1179" t="s">
        <v>1325</v>
      </c>
    </row>
    <row r="1180" spans="1:1" x14ac:dyDescent="0.2">
      <c r="A1180" t="s">
        <v>1326</v>
      </c>
    </row>
    <row r="1181" spans="1:1" x14ac:dyDescent="0.2">
      <c r="A1181" t="s">
        <v>1327</v>
      </c>
    </row>
    <row r="1182" spans="1:1" x14ac:dyDescent="0.2">
      <c r="A1182" t="s">
        <v>1328</v>
      </c>
    </row>
    <row r="1183" spans="1:1" x14ac:dyDescent="0.2">
      <c r="A1183" t="s">
        <v>1329</v>
      </c>
    </row>
    <row r="1184" spans="1:1" x14ac:dyDescent="0.2">
      <c r="A1184" t="s">
        <v>1330</v>
      </c>
    </row>
    <row r="1185" spans="1:1" x14ac:dyDescent="0.2">
      <c r="A1185" t="s">
        <v>1331</v>
      </c>
    </row>
    <row r="1186" spans="1:1" x14ac:dyDescent="0.2">
      <c r="A1186" t="s">
        <v>1332</v>
      </c>
    </row>
    <row r="1187" spans="1:1" x14ac:dyDescent="0.2">
      <c r="A1187" t="s">
        <v>1333</v>
      </c>
    </row>
    <row r="1188" spans="1:1" x14ac:dyDescent="0.2">
      <c r="A1188" t="s">
        <v>1334</v>
      </c>
    </row>
    <row r="1189" spans="1:1" x14ac:dyDescent="0.2">
      <c r="A1189" t="s">
        <v>1335</v>
      </c>
    </row>
    <row r="1190" spans="1:1" x14ac:dyDescent="0.2">
      <c r="A1190" t="s">
        <v>1336</v>
      </c>
    </row>
    <row r="1191" spans="1:1" x14ac:dyDescent="0.2">
      <c r="A1191" t="s">
        <v>1337</v>
      </c>
    </row>
    <row r="1192" spans="1:1" x14ac:dyDescent="0.2">
      <c r="A1192" t="s">
        <v>1338</v>
      </c>
    </row>
    <row r="1193" spans="1:1" x14ac:dyDescent="0.2">
      <c r="A1193" t="s">
        <v>1339</v>
      </c>
    </row>
    <row r="1194" spans="1:1" x14ac:dyDescent="0.2">
      <c r="A1194" t="s">
        <v>1340</v>
      </c>
    </row>
    <row r="1195" spans="1:1" x14ac:dyDescent="0.2">
      <c r="A1195" t="s">
        <v>1341</v>
      </c>
    </row>
    <row r="1196" spans="1:1" x14ac:dyDescent="0.2">
      <c r="A1196" t="s">
        <v>1342</v>
      </c>
    </row>
    <row r="1197" spans="1:1" x14ac:dyDescent="0.2">
      <c r="A1197" t="s">
        <v>1343</v>
      </c>
    </row>
    <row r="1198" spans="1:1" x14ac:dyDescent="0.2">
      <c r="A1198" t="s">
        <v>1344</v>
      </c>
    </row>
    <row r="1199" spans="1:1" x14ac:dyDescent="0.2">
      <c r="A1199" t="s">
        <v>1345</v>
      </c>
    </row>
    <row r="1200" spans="1:1" x14ac:dyDescent="0.2">
      <c r="A1200" t="s">
        <v>1346</v>
      </c>
    </row>
    <row r="1201" spans="1:1" x14ac:dyDescent="0.2">
      <c r="A1201" t="s">
        <v>1347</v>
      </c>
    </row>
    <row r="1202" spans="1:1" x14ac:dyDescent="0.2">
      <c r="A1202" t="s">
        <v>1348</v>
      </c>
    </row>
    <row r="1203" spans="1:1" x14ac:dyDescent="0.2">
      <c r="A1203" t="s">
        <v>1349</v>
      </c>
    </row>
    <row r="1204" spans="1:1" x14ac:dyDescent="0.2">
      <c r="A1204" t="s">
        <v>1350</v>
      </c>
    </row>
    <row r="1205" spans="1:1" x14ac:dyDescent="0.2">
      <c r="A1205" t="s">
        <v>1351</v>
      </c>
    </row>
    <row r="1206" spans="1:1" x14ac:dyDescent="0.2">
      <c r="A1206" t="s">
        <v>1352</v>
      </c>
    </row>
    <row r="1207" spans="1:1" x14ac:dyDescent="0.2">
      <c r="A1207" t="s">
        <v>1353</v>
      </c>
    </row>
    <row r="1208" spans="1:1" x14ac:dyDescent="0.2">
      <c r="A1208" t="s">
        <v>1354</v>
      </c>
    </row>
    <row r="1209" spans="1:1" x14ac:dyDescent="0.2">
      <c r="A1209" t="s">
        <v>1355</v>
      </c>
    </row>
    <row r="1210" spans="1:1" x14ac:dyDescent="0.2">
      <c r="A1210" t="s">
        <v>1356</v>
      </c>
    </row>
    <row r="1211" spans="1:1" x14ac:dyDescent="0.2">
      <c r="A1211" t="s">
        <v>1357</v>
      </c>
    </row>
    <row r="1212" spans="1:1" x14ac:dyDescent="0.2">
      <c r="A1212" t="s">
        <v>1358</v>
      </c>
    </row>
    <row r="1213" spans="1:1" x14ac:dyDescent="0.2">
      <c r="A1213" t="s">
        <v>1359</v>
      </c>
    </row>
    <row r="1214" spans="1:1" x14ac:dyDescent="0.2">
      <c r="A1214" t="s">
        <v>1360</v>
      </c>
    </row>
    <row r="1215" spans="1:1" x14ac:dyDescent="0.2">
      <c r="A1215" t="s">
        <v>1361</v>
      </c>
    </row>
    <row r="1216" spans="1:1" x14ac:dyDescent="0.2">
      <c r="A1216" t="s">
        <v>1362</v>
      </c>
    </row>
    <row r="1217" spans="1:1" x14ac:dyDescent="0.2">
      <c r="A1217" t="s">
        <v>1363</v>
      </c>
    </row>
    <row r="1218" spans="1:1" x14ac:dyDescent="0.2">
      <c r="A1218" t="s">
        <v>1364</v>
      </c>
    </row>
    <row r="1219" spans="1:1" x14ac:dyDescent="0.2">
      <c r="A1219" t="s">
        <v>1365</v>
      </c>
    </row>
    <row r="1220" spans="1:1" x14ac:dyDescent="0.2">
      <c r="A1220" t="s">
        <v>1366</v>
      </c>
    </row>
    <row r="1221" spans="1:1" x14ac:dyDescent="0.2">
      <c r="A1221" t="s">
        <v>1367</v>
      </c>
    </row>
    <row r="1222" spans="1:1" x14ac:dyDescent="0.2">
      <c r="A1222" t="s">
        <v>1368</v>
      </c>
    </row>
    <row r="1223" spans="1:1" x14ac:dyDescent="0.2">
      <c r="A1223" t="s">
        <v>1369</v>
      </c>
    </row>
    <row r="1224" spans="1:1" x14ac:dyDescent="0.2">
      <c r="A1224" t="s">
        <v>1370</v>
      </c>
    </row>
    <row r="1225" spans="1:1" x14ac:dyDescent="0.2">
      <c r="A1225" t="s">
        <v>1371</v>
      </c>
    </row>
    <row r="1226" spans="1:1" x14ac:dyDescent="0.2">
      <c r="A1226" t="s">
        <v>1372</v>
      </c>
    </row>
    <row r="1227" spans="1:1" x14ac:dyDescent="0.2">
      <c r="A1227" t="s">
        <v>1373</v>
      </c>
    </row>
    <row r="1228" spans="1:1" x14ac:dyDescent="0.2">
      <c r="A1228" t="s">
        <v>1374</v>
      </c>
    </row>
    <row r="1229" spans="1:1" x14ac:dyDescent="0.2">
      <c r="A1229" t="s">
        <v>1375</v>
      </c>
    </row>
    <row r="1230" spans="1:1" x14ac:dyDescent="0.2">
      <c r="A1230" t="s">
        <v>1376</v>
      </c>
    </row>
    <row r="1231" spans="1:1" x14ac:dyDescent="0.2">
      <c r="A1231" t="s">
        <v>1377</v>
      </c>
    </row>
    <row r="1232" spans="1:1" x14ac:dyDescent="0.2">
      <c r="A1232" t="s">
        <v>1378</v>
      </c>
    </row>
    <row r="1233" spans="1:1" x14ac:dyDescent="0.2">
      <c r="A1233" t="s">
        <v>1379</v>
      </c>
    </row>
    <row r="1234" spans="1:1" x14ac:dyDescent="0.2">
      <c r="A1234" t="s">
        <v>1380</v>
      </c>
    </row>
    <row r="1235" spans="1:1" x14ac:dyDescent="0.2">
      <c r="A1235" t="s">
        <v>1381</v>
      </c>
    </row>
    <row r="1236" spans="1:1" x14ac:dyDescent="0.2">
      <c r="A1236" t="s">
        <v>1382</v>
      </c>
    </row>
    <row r="1237" spans="1:1" x14ac:dyDescent="0.2">
      <c r="A1237" t="s">
        <v>1383</v>
      </c>
    </row>
    <row r="1238" spans="1:1" x14ac:dyDescent="0.2">
      <c r="A1238" t="s">
        <v>1384</v>
      </c>
    </row>
    <row r="1239" spans="1:1" x14ac:dyDescent="0.2">
      <c r="A1239" t="s">
        <v>1385</v>
      </c>
    </row>
    <row r="1240" spans="1:1" x14ac:dyDescent="0.2">
      <c r="A1240" t="s">
        <v>1386</v>
      </c>
    </row>
    <row r="1241" spans="1:1" x14ac:dyDescent="0.2">
      <c r="A1241" t="s">
        <v>1387</v>
      </c>
    </row>
    <row r="1242" spans="1:1" x14ac:dyDescent="0.2">
      <c r="A1242" t="s">
        <v>1388</v>
      </c>
    </row>
    <row r="1243" spans="1:1" x14ac:dyDescent="0.2">
      <c r="A1243" t="s">
        <v>1389</v>
      </c>
    </row>
    <row r="1244" spans="1:1" x14ac:dyDescent="0.2">
      <c r="A1244" t="s">
        <v>1390</v>
      </c>
    </row>
    <row r="1245" spans="1:1" x14ac:dyDescent="0.2">
      <c r="A1245" t="s">
        <v>1391</v>
      </c>
    </row>
    <row r="1246" spans="1:1" x14ac:dyDescent="0.2">
      <c r="A1246" t="s">
        <v>1392</v>
      </c>
    </row>
    <row r="1247" spans="1:1" x14ac:dyDescent="0.2">
      <c r="A1247" t="s">
        <v>1393</v>
      </c>
    </row>
    <row r="1248" spans="1:1" x14ac:dyDescent="0.2">
      <c r="A1248" t="s">
        <v>1394</v>
      </c>
    </row>
    <row r="1249" spans="1:1" x14ac:dyDescent="0.2">
      <c r="A1249" t="s">
        <v>1395</v>
      </c>
    </row>
    <row r="1250" spans="1:1" x14ac:dyDescent="0.2">
      <c r="A1250" t="s">
        <v>1396</v>
      </c>
    </row>
    <row r="1251" spans="1:1" x14ac:dyDescent="0.2">
      <c r="A1251" t="s">
        <v>1397</v>
      </c>
    </row>
    <row r="1252" spans="1:1" x14ac:dyDescent="0.2">
      <c r="A1252" t="s">
        <v>1398</v>
      </c>
    </row>
    <row r="1253" spans="1:1" x14ac:dyDescent="0.2">
      <c r="A1253" t="s">
        <v>1399</v>
      </c>
    </row>
    <row r="1254" spans="1:1" x14ac:dyDescent="0.2">
      <c r="A1254" t="s">
        <v>1400</v>
      </c>
    </row>
    <row r="1255" spans="1:1" x14ac:dyDescent="0.2">
      <c r="A1255" t="s">
        <v>1401</v>
      </c>
    </row>
    <row r="1256" spans="1:1" x14ac:dyDescent="0.2">
      <c r="A1256" t="s">
        <v>1402</v>
      </c>
    </row>
    <row r="1257" spans="1:1" x14ac:dyDescent="0.2">
      <c r="A1257" t="s">
        <v>1403</v>
      </c>
    </row>
    <row r="1258" spans="1:1" x14ac:dyDescent="0.2">
      <c r="A1258" t="s">
        <v>1404</v>
      </c>
    </row>
    <row r="1259" spans="1:1" x14ac:dyDescent="0.2">
      <c r="A1259" t="s">
        <v>1405</v>
      </c>
    </row>
    <row r="1260" spans="1:1" x14ac:dyDescent="0.2">
      <c r="A1260" t="s">
        <v>1406</v>
      </c>
    </row>
    <row r="1261" spans="1:1" x14ac:dyDescent="0.2">
      <c r="A1261" t="s">
        <v>1407</v>
      </c>
    </row>
    <row r="1262" spans="1:1" x14ac:dyDescent="0.2">
      <c r="A1262" t="s">
        <v>1408</v>
      </c>
    </row>
    <row r="1263" spans="1:1" x14ac:dyDescent="0.2">
      <c r="A1263" t="s">
        <v>1409</v>
      </c>
    </row>
    <row r="1264" spans="1:1" x14ac:dyDescent="0.2">
      <c r="A1264" t="s">
        <v>1410</v>
      </c>
    </row>
    <row r="1265" spans="1:1" x14ac:dyDescent="0.2">
      <c r="A1265" t="s">
        <v>1411</v>
      </c>
    </row>
    <row r="1266" spans="1:1" x14ac:dyDescent="0.2">
      <c r="A1266" t="s">
        <v>1412</v>
      </c>
    </row>
    <row r="1267" spans="1:1" x14ac:dyDescent="0.2">
      <c r="A1267" t="s">
        <v>1413</v>
      </c>
    </row>
    <row r="1268" spans="1:1" x14ac:dyDescent="0.2">
      <c r="A1268" t="s">
        <v>1414</v>
      </c>
    </row>
    <row r="1269" spans="1:1" x14ac:dyDescent="0.2">
      <c r="A1269" t="s">
        <v>1415</v>
      </c>
    </row>
    <row r="1270" spans="1:1" x14ac:dyDescent="0.2">
      <c r="A1270" t="s">
        <v>1416</v>
      </c>
    </row>
    <row r="1271" spans="1:1" x14ac:dyDescent="0.2">
      <c r="A1271" t="s">
        <v>1417</v>
      </c>
    </row>
    <row r="1272" spans="1:1" x14ac:dyDescent="0.2">
      <c r="A1272" t="s">
        <v>1418</v>
      </c>
    </row>
    <row r="1273" spans="1:1" x14ac:dyDescent="0.2">
      <c r="A1273" t="s">
        <v>1419</v>
      </c>
    </row>
    <row r="1274" spans="1:1" x14ac:dyDescent="0.2">
      <c r="A1274" t="s">
        <v>1420</v>
      </c>
    </row>
    <row r="1275" spans="1:1" x14ac:dyDescent="0.2">
      <c r="A1275" t="s">
        <v>1421</v>
      </c>
    </row>
    <row r="1276" spans="1:1" x14ac:dyDescent="0.2">
      <c r="A1276" t="s">
        <v>1422</v>
      </c>
    </row>
    <row r="1277" spans="1:1" x14ac:dyDescent="0.2">
      <c r="A1277" t="s">
        <v>1423</v>
      </c>
    </row>
    <row r="1278" spans="1:1" x14ac:dyDescent="0.2">
      <c r="A1278" t="s">
        <v>1424</v>
      </c>
    </row>
    <row r="1279" spans="1:1" x14ac:dyDescent="0.2">
      <c r="A1279" t="s">
        <v>1425</v>
      </c>
    </row>
    <row r="1280" spans="1:1" x14ac:dyDescent="0.2">
      <c r="A1280" t="s">
        <v>1426</v>
      </c>
    </row>
    <row r="1281" spans="1:1" x14ac:dyDescent="0.2">
      <c r="A1281" t="s">
        <v>1427</v>
      </c>
    </row>
    <row r="1282" spans="1:1" x14ac:dyDescent="0.2">
      <c r="A1282" t="s">
        <v>1428</v>
      </c>
    </row>
    <row r="1283" spans="1:1" x14ac:dyDescent="0.2">
      <c r="A1283" t="s">
        <v>1429</v>
      </c>
    </row>
    <row r="1284" spans="1:1" x14ac:dyDescent="0.2">
      <c r="A1284" t="s">
        <v>1430</v>
      </c>
    </row>
    <row r="1285" spans="1:1" x14ac:dyDescent="0.2">
      <c r="A1285" t="s">
        <v>1431</v>
      </c>
    </row>
    <row r="1286" spans="1:1" x14ac:dyDescent="0.2">
      <c r="A1286" t="s">
        <v>1432</v>
      </c>
    </row>
    <row r="1287" spans="1:1" x14ac:dyDescent="0.2">
      <c r="A1287" t="s">
        <v>1433</v>
      </c>
    </row>
    <row r="1288" spans="1:1" x14ac:dyDescent="0.2">
      <c r="A1288" t="s">
        <v>1434</v>
      </c>
    </row>
    <row r="1289" spans="1:1" x14ac:dyDescent="0.2">
      <c r="A1289" t="s">
        <v>1435</v>
      </c>
    </row>
    <row r="1290" spans="1:1" x14ac:dyDescent="0.2">
      <c r="A1290" t="s">
        <v>1436</v>
      </c>
    </row>
    <row r="1291" spans="1:1" x14ac:dyDescent="0.2">
      <c r="A1291" t="s">
        <v>1437</v>
      </c>
    </row>
    <row r="1292" spans="1:1" x14ac:dyDescent="0.2">
      <c r="A1292" t="s">
        <v>1438</v>
      </c>
    </row>
    <row r="1293" spans="1:1" x14ac:dyDescent="0.2">
      <c r="A1293" t="s">
        <v>1439</v>
      </c>
    </row>
    <row r="1294" spans="1:1" x14ac:dyDescent="0.2">
      <c r="A1294" t="s">
        <v>1440</v>
      </c>
    </row>
    <row r="1295" spans="1:1" x14ac:dyDescent="0.2">
      <c r="A1295" t="s">
        <v>1441</v>
      </c>
    </row>
    <row r="1296" spans="1:1" x14ac:dyDescent="0.2">
      <c r="A1296" t="s">
        <v>1442</v>
      </c>
    </row>
    <row r="1297" spans="1:1" x14ac:dyDescent="0.2">
      <c r="A1297" t="s">
        <v>1443</v>
      </c>
    </row>
    <row r="1298" spans="1:1" x14ac:dyDescent="0.2">
      <c r="A1298" t="s">
        <v>1444</v>
      </c>
    </row>
    <row r="1299" spans="1:1" x14ac:dyDescent="0.2">
      <c r="A1299" t="s">
        <v>1445</v>
      </c>
    </row>
    <row r="1300" spans="1:1" x14ac:dyDescent="0.2">
      <c r="A1300" t="s">
        <v>1446</v>
      </c>
    </row>
    <row r="1301" spans="1:1" x14ac:dyDescent="0.2">
      <c r="A1301" t="s">
        <v>1447</v>
      </c>
    </row>
    <row r="1302" spans="1:1" x14ac:dyDescent="0.2">
      <c r="A1302" t="s">
        <v>1448</v>
      </c>
    </row>
    <row r="1303" spans="1:1" x14ac:dyDescent="0.2">
      <c r="A1303" t="s">
        <v>1449</v>
      </c>
    </row>
    <row r="1304" spans="1:1" x14ac:dyDescent="0.2">
      <c r="A1304" t="s">
        <v>1450</v>
      </c>
    </row>
    <row r="1305" spans="1:1" x14ac:dyDescent="0.2">
      <c r="A1305" t="s">
        <v>1451</v>
      </c>
    </row>
    <row r="1306" spans="1:1" x14ac:dyDescent="0.2">
      <c r="A1306" t="s">
        <v>1452</v>
      </c>
    </row>
    <row r="1307" spans="1:1" x14ac:dyDescent="0.2">
      <c r="A1307" t="s">
        <v>1453</v>
      </c>
    </row>
    <row r="1308" spans="1:1" x14ac:dyDescent="0.2">
      <c r="A1308" t="s">
        <v>1454</v>
      </c>
    </row>
    <row r="1309" spans="1:1" x14ac:dyDescent="0.2">
      <c r="A1309" t="s">
        <v>1455</v>
      </c>
    </row>
    <row r="1310" spans="1:1" x14ac:dyDescent="0.2">
      <c r="A1310" t="s">
        <v>1456</v>
      </c>
    </row>
    <row r="1311" spans="1:1" x14ac:dyDescent="0.2">
      <c r="A1311" t="s">
        <v>1457</v>
      </c>
    </row>
    <row r="1312" spans="1:1" x14ac:dyDescent="0.2">
      <c r="A1312" t="s">
        <v>1458</v>
      </c>
    </row>
    <row r="1313" spans="1:1" x14ac:dyDescent="0.2">
      <c r="A1313" t="s">
        <v>1459</v>
      </c>
    </row>
    <row r="1314" spans="1:1" x14ac:dyDescent="0.2">
      <c r="A1314" t="s">
        <v>1460</v>
      </c>
    </row>
    <row r="1315" spans="1:1" x14ac:dyDescent="0.2">
      <c r="A1315" t="s">
        <v>1461</v>
      </c>
    </row>
    <row r="1316" spans="1:1" x14ac:dyDescent="0.2">
      <c r="A1316" t="s">
        <v>1462</v>
      </c>
    </row>
    <row r="1317" spans="1:1" x14ac:dyDescent="0.2">
      <c r="A1317" t="s">
        <v>1463</v>
      </c>
    </row>
    <row r="1318" spans="1:1" x14ac:dyDescent="0.2">
      <c r="A1318" t="s">
        <v>1464</v>
      </c>
    </row>
    <row r="1319" spans="1:1" x14ac:dyDescent="0.2">
      <c r="A1319" t="s">
        <v>1465</v>
      </c>
    </row>
    <row r="1320" spans="1:1" x14ac:dyDescent="0.2">
      <c r="A1320" t="s">
        <v>1466</v>
      </c>
    </row>
    <row r="1321" spans="1:1" x14ac:dyDescent="0.2">
      <c r="A1321" t="s">
        <v>1467</v>
      </c>
    </row>
    <row r="1322" spans="1:1" x14ac:dyDescent="0.2">
      <c r="A1322" t="s">
        <v>1468</v>
      </c>
    </row>
    <row r="1323" spans="1:1" x14ac:dyDescent="0.2">
      <c r="A1323" t="s">
        <v>1469</v>
      </c>
    </row>
    <row r="1324" spans="1:1" x14ac:dyDescent="0.2">
      <c r="A1324" t="s">
        <v>1470</v>
      </c>
    </row>
    <row r="1325" spans="1:1" x14ac:dyDescent="0.2">
      <c r="A1325" t="s">
        <v>1471</v>
      </c>
    </row>
    <row r="1326" spans="1:1" x14ac:dyDescent="0.2">
      <c r="A1326" t="s">
        <v>1472</v>
      </c>
    </row>
    <row r="1327" spans="1:1" x14ac:dyDescent="0.2">
      <c r="A1327" t="s">
        <v>1473</v>
      </c>
    </row>
    <row r="1328" spans="1:1" x14ac:dyDescent="0.2">
      <c r="A1328" t="s">
        <v>1474</v>
      </c>
    </row>
    <row r="1329" spans="1:1" x14ac:dyDescent="0.2">
      <c r="A1329" t="s">
        <v>1475</v>
      </c>
    </row>
    <row r="1330" spans="1:1" x14ac:dyDescent="0.2">
      <c r="A1330" t="s">
        <v>1476</v>
      </c>
    </row>
    <row r="1331" spans="1:1" x14ac:dyDescent="0.2">
      <c r="A1331" t="s">
        <v>1477</v>
      </c>
    </row>
    <row r="1332" spans="1:1" x14ac:dyDescent="0.2">
      <c r="A1332" t="s">
        <v>1478</v>
      </c>
    </row>
    <row r="1333" spans="1:1" x14ac:dyDescent="0.2">
      <c r="A1333" t="s">
        <v>1479</v>
      </c>
    </row>
    <row r="1334" spans="1:1" x14ac:dyDescent="0.2">
      <c r="A1334" t="s">
        <v>1480</v>
      </c>
    </row>
    <row r="1335" spans="1:1" x14ac:dyDescent="0.2">
      <c r="A1335" t="s">
        <v>1481</v>
      </c>
    </row>
    <row r="1336" spans="1:1" x14ac:dyDescent="0.2">
      <c r="A1336" t="s">
        <v>1482</v>
      </c>
    </row>
    <row r="1337" spans="1:1" x14ac:dyDescent="0.2">
      <c r="A1337" t="s">
        <v>1483</v>
      </c>
    </row>
    <row r="1338" spans="1:1" x14ac:dyDescent="0.2">
      <c r="A1338" t="s">
        <v>1484</v>
      </c>
    </row>
    <row r="1339" spans="1:1" x14ac:dyDescent="0.2">
      <c r="A1339" t="s">
        <v>1485</v>
      </c>
    </row>
    <row r="1340" spans="1:1" x14ac:dyDescent="0.2">
      <c r="A1340" t="s">
        <v>1486</v>
      </c>
    </row>
    <row r="1341" spans="1:1" x14ac:dyDescent="0.2">
      <c r="A1341" t="s">
        <v>1487</v>
      </c>
    </row>
    <row r="1342" spans="1:1" x14ac:dyDescent="0.2">
      <c r="A1342" t="s">
        <v>1488</v>
      </c>
    </row>
    <row r="1343" spans="1:1" x14ac:dyDescent="0.2">
      <c r="A1343" t="s">
        <v>1489</v>
      </c>
    </row>
    <row r="1344" spans="1:1" x14ac:dyDescent="0.2">
      <c r="A1344" t="s">
        <v>1490</v>
      </c>
    </row>
    <row r="1345" spans="1:1" x14ac:dyDescent="0.2">
      <c r="A1345" t="s">
        <v>1491</v>
      </c>
    </row>
    <row r="1346" spans="1:1" x14ac:dyDescent="0.2">
      <c r="A1346" t="s">
        <v>1492</v>
      </c>
    </row>
    <row r="1347" spans="1:1" x14ac:dyDescent="0.2">
      <c r="A1347" t="s">
        <v>1493</v>
      </c>
    </row>
    <row r="1348" spans="1:1" x14ac:dyDescent="0.2">
      <c r="A1348" t="s">
        <v>1494</v>
      </c>
    </row>
    <row r="1349" spans="1:1" x14ac:dyDescent="0.2">
      <c r="A1349" t="s">
        <v>1495</v>
      </c>
    </row>
    <row r="1350" spans="1:1" x14ac:dyDescent="0.2">
      <c r="A1350" t="s">
        <v>1496</v>
      </c>
    </row>
    <row r="1351" spans="1:1" x14ac:dyDescent="0.2">
      <c r="A1351" t="s">
        <v>1497</v>
      </c>
    </row>
    <row r="1352" spans="1:1" x14ac:dyDescent="0.2">
      <c r="A1352" t="s">
        <v>1498</v>
      </c>
    </row>
    <row r="1353" spans="1:1" x14ac:dyDescent="0.2">
      <c r="A1353" t="s">
        <v>1499</v>
      </c>
    </row>
    <row r="1354" spans="1:1" x14ac:dyDescent="0.2">
      <c r="A1354" t="s">
        <v>1500</v>
      </c>
    </row>
    <row r="1355" spans="1:1" x14ac:dyDescent="0.2">
      <c r="A1355" t="s">
        <v>1501</v>
      </c>
    </row>
    <row r="1356" spans="1:1" x14ac:dyDescent="0.2">
      <c r="A1356" t="s">
        <v>1502</v>
      </c>
    </row>
    <row r="1357" spans="1:1" x14ac:dyDescent="0.2">
      <c r="A1357" t="s">
        <v>1503</v>
      </c>
    </row>
    <row r="1358" spans="1:1" x14ac:dyDescent="0.2">
      <c r="A1358" t="s">
        <v>1504</v>
      </c>
    </row>
    <row r="1359" spans="1:1" x14ac:dyDescent="0.2">
      <c r="A1359" t="s">
        <v>1505</v>
      </c>
    </row>
    <row r="1360" spans="1:1" x14ac:dyDescent="0.2">
      <c r="A1360" t="s">
        <v>1506</v>
      </c>
    </row>
    <row r="1361" spans="1:1" x14ac:dyDescent="0.2">
      <c r="A1361" t="s">
        <v>1507</v>
      </c>
    </row>
    <row r="1362" spans="1:1" x14ac:dyDescent="0.2">
      <c r="A1362" t="s">
        <v>1508</v>
      </c>
    </row>
    <row r="1363" spans="1:1" x14ac:dyDescent="0.2">
      <c r="A1363" t="s">
        <v>1509</v>
      </c>
    </row>
    <row r="1364" spans="1:1" x14ac:dyDescent="0.2">
      <c r="A1364" t="s">
        <v>1510</v>
      </c>
    </row>
    <row r="1365" spans="1:1" x14ac:dyDescent="0.2">
      <c r="A1365" t="s">
        <v>1511</v>
      </c>
    </row>
    <row r="1366" spans="1:1" x14ac:dyDescent="0.2">
      <c r="A1366" t="s">
        <v>1512</v>
      </c>
    </row>
    <row r="1367" spans="1:1" x14ac:dyDescent="0.2">
      <c r="A1367" t="s">
        <v>1513</v>
      </c>
    </row>
    <row r="1368" spans="1:1" x14ac:dyDescent="0.2">
      <c r="A1368" t="s">
        <v>1514</v>
      </c>
    </row>
    <row r="1369" spans="1:1" x14ac:dyDescent="0.2">
      <c r="A1369" t="s">
        <v>1515</v>
      </c>
    </row>
    <row r="1370" spans="1:1" x14ac:dyDescent="0.2">
      <c r="A1370" t="s">
        <v>1516</v>
      </c>
    </row>
    <row r="1371" spans="1:1" x14ac:dyDescent="0.2">
      <c r="A1371" t="s">
        <v>1517</v>
      </c>
    </row>
    <row r="1372" spans="1:1" x14ac:dyDescent="0.2">
      <c r="A1372" t="s">
        <v>1518</v>
      </c>
    </row>
    <row r="1373" spans="1:1" x14ac:dyDescent="0.2">
      <c r="A1373" t="s">
        <v>1519</v>
      </c>
    </row>
    <row r="1374" spans="1:1" x14ac:dyDescent="0.2">
      <c r="A1374" t="s">
        <v>1520</v>
      </c>
    </row>
    <row r="1375" spans="1:1" x14ac:dyDescent="0.2">
      <c r="A1375" t="s">
        <v>1521</v>
      </c>
    </row>
    <row r="1376" spans="1:1" x14ac:dyDescent="0.2">
      <c r="A1376" t="s">
        <v>1522</v>
      </c>
    </row>
    <row r="1377" spans="1:1" x14ac:dyDescent="0.2">
      <c r="A1377" t="s">
        <v>1523</v>
      </c>
    </row>
    <row r="1378" spans="1:1" x14ac:dyDescent="0.2">
      <c r="A1378" t="s">
        <v>1524</v>
      </c>
    </row>
    <row r="1379" spans="1:1" x14ac:dyDescent="0.2">
      <c r="A1379" t="s">
        <v>1525</v>
      </c>
    </row>
    <row r="1380" spans="1:1" x14ac:dyDescent="0.2">
      <c r="A1380" t="s">
        <v>1526</v>
      </c>
    </row>
    <row r="1381" spans="1:1" x14ac:dyDescent="0.2">
      <c r="A1381" t="s">
        <v>1527</v>
      </c>
    </row>
    <row r="1382" spans="1:1" x14ac:dyDescent="0.2">
      <c r="A1382" t="s">
        <v>1528</v>
      </c>
    </row>
    <row r="1383" spans="1:1" x14ac:dyDescent="0.2">
      <c r="A1383" t="s">
        <v>1529</v>
      </c>
    </row>
    <row r="1384" spans="1:1" x14ac:dyDescent="0.2">
      <c r="A1384" t="s">
        <v>1530</v>
      </c>
    </row>
    <row r="1385" spans="1:1" x14ac:dyDescent="0.2">
      <c r="A1385" t="s">
        <v>1531</v>
      </c>
    </row>
    <row r="1386" spans="1:1" x14ac:dyDescent="0.2">
      <c r="A1386" t="s">
        <v>1532</v>
      </c>
    </row>
    <row r="1387" spans="1:1" x14ac:dyDescent="0.2">
      <c r="A1387" t="s">
        <v>1533</v>
      </c>
    </row>
    <row r="1388" spans="1:1" x14ac:dyDescent="0.2">
      <c r="A1388" t="s">
        <v>1534</v>
      </c>
    </row>
    <row r="1389" spans="1:1" x14ac:dyDescent="0.2">
      <c r="A1389" t="s">
        <v>1535</v>
      </c>
    </row>
    <row r="1390" spans="1:1" x14ac:dyDescent="0.2">
      <c r="A1390" t="s">
        <v>1536</v>
      </c>
    </row>
    <row r="1391" spans="1:1" x14ac:dyDescent="0.2">
      <c r="A1391" t="s">
        <v>1537</v>
      </c>
    </row>
    <row r="1392" spans="1:1" x14ac:dyDescent="0.2">
      <c r="A1392" t="s">
        <v>1538</v>
      </c>
    </row>
    <row r="1393" spans="1:1" x14ac:dyDescent="0.2">
      <c r="A1393" t="s">
        <v>1539</v>
      </c>
    </row>
    <row r="1394" spans="1:1" x14ac:dyDescent="0.2">
      <c r="A1394" t="s">
        <v>1540</v>
      </c>
    </row>
    <row r="1395" spans="1:1" x14ac:dyDescent="0.2">
      <c r="A1395" t="s">
        <v>1541</v>
      </c>
    </row>
    <row r="1396" spans="1:1" x14ac:dyDescent="0.2">
      <c r="A1396" t="s">
        <v>1542</v>
      </c>
    </row>
    <row r="1397" spans="1:1" x14ac:dyDescent="0.2">
      <c r="A1397" t="s">
        <v>1543</v>
      </c>
    </row>
    <row r="1398" spans="1:1" x14ac:dyDescent="0.2">
      <c r="A1398" t="s">
        <v>1544</v>
      </c>
    </row>
    <row r="1399" spans="1:1" x14ac:dyDescent="0.2">
      <c r="A1399" t="s">
        <v>1545</v>
      </c>
    </row>
    <row r="1400" spans="1:1" x14ac:dyDescent="0.2">
      <c r="A1400" t="s">
        <v>1546</v>
      </c>
    </row>
    <row r="1401" spans="1:1" x14ac:dyDescent="0.2">
      <c r="A1401" t="s">
        <v>1547</v>
      </c>
    </row>
    <row r="1402" spans="1:1" x14ac:dyDescent="0.2">
      <c r="A1402" t="s">
        <v>1548</v>
      </c>
    </row>
    <row r="1403" spans="1:1" x14ac:dyDescent="0.2">
      <c r="A1403" t="s">
        <v>1549</v>
      </c>
    </row>
    <row r="1404" spans="1:1" x14ac:dyDescent="0.2">
      <c r="A1404" t="s">
        <v>1550</v>
      </c>
    </row>
    <row r="1405" spans="1:1" x14ac:dyDescent="0.2">
      <c r="A1405" t="s">
        <v>1551</v>
      </c>
    </row>
    <row r="1406" spans="1:1" x14ac:dyDescent="0.2">
      <c r="A1406" t="s">
        <v>1552</v>
      </c>
    </row>
    <row r="1407" spans="1:1" x14ac:dyDescent="0.2">
      <c r="A1407" t="s">
        <v>1553</v>
      </c>
    </row>
    <row r="1408" spans="1:1" x14ac:dyDescent="0.2">
      <c r="A1408" t="s">
        <v>1554</v>
      </c>
    </row>
    <row r="1409" spans="1:1" x14ac:dyDescent="0.2">
      <c r="A1409" t="s">
        <v>1555</v>
      </c>
    </row>
    <row r="1410" spans="1:1" x14ac:dyDescent="0.2">
      <c r="A1410" t="s">
        <v>1556</v>
      </c>
    </row>
    <row r="1411" spans="1:1" x14ac:dyDescent="0.2">
      <c r="A1411" t="s">
        <v>1557</v>
      </c>
    </row>
    <row r="1412" spans="1:1" x14ac:dyDescent="0.2">
      <c r="A1412" t="s">
        <v>1558</v>
      </c>
    </row>
    <row r="1413" spans="1:1" x14ac:dyDescent="0.2">
      <c r="A1413" t="s">
        <v>1559</v>
      </c>
    </row>
    <row r="1414" spans="1:1" x14ac:dyDescent="0.2">
      <c r="A1414" t="s">
        <v>1560</v>
      </c>
    </row>
    <row r="1415" spans="1:1" x14ac:dyDescent="0.2">
      <c r="A1415" t="s">
        <v>1561</v>
      </c>
    </row>
    <row r="1416" spans="1:1" x14ac:dyDescent="0.2">
      <c r="A1416" t="s">
        <v>1562</v>
      </c>
    </row>
    <row r="1417" spans="1:1" x14ac:dyDescent="0.2">
      <c r="A1417" t="s">
        <v>1563</v>
      </c>
    </row>
    <row r="1418" spans="1:1" x14ac:dyDescent="0.2">
      <c r="A1418" t="s">
        <v>1564</v>
      </c>
    </row>
    <row r="1419" spans="1:1" x14ac:dyDescent="0.2">
      <c r="A1419" t="s">
        <v>1565</v>
      </c>
    </row>
    <row r="1420" spans="1:1" x14ac:dyDescent="0.2">
      <c r="A1420" t="s">
        <v>1566</v>
      </c>
    </row>
    <row r="1421" spans="1:1" x14ac:dyDescent="0.2">
      <c r="A1421" t="s">
        <v>1567</v>
      </c>
    </row>
    <row r="1422" spans="1:1" x14ac:dyDescent="0.2">
      <c r="A1422" t="s">
        <v>1568</v>
      </c>
    </row>
    <row r="1423" spans="1:1" x14ac:dyDescent="0.2">
      <c r="A1423" t="s">
        <v>1569</v>
      </c>
    </row>
    <row r="1424" spans="1:1" x14ac:dyDescent="0.2">
      <c r="A1424" t="s">
        <v>1570</v>
      </c>
    </row>
    <row r="1425" spans="1:1" x14ac:dyDescent="0.2">
      <c r="A1425" t="s">
        <v>1571</v>
      </c>
    </row>
    <row r="1426" spans="1:1" x14ac:dyDescent="0.2">
      <c r="A1426" t="s">
        <v>1572</v>
      </c>
    </row>
    <row r="1427" spans="1:1" x14ac:dyDescent="0.2">
      <c r="A1427" t="s">
        <v>1573</v>
      </c>
    </row>
    <row r="1428" spans="1:1" x14ac:dyDescent="0.2">
      <c r="A1428" t="s">
        <v>1574</v>
      </c>
    </row>
    <row r="1429" spans="1:1" x14ac:dyDescent="0.2">
      <c r="A1429" t="s">
        <v>1575</v>
      </c>
    </row>
    <row r="1430" spans="1:1" x14ac:dyDescent="0.2">
      <c r="A1430" t="s">
        <v>1576</v>
      </c>
    </row>
    <row r="1431" spans="1:1" x14ac:dyDescent="0.2">
      <c r="A1431" t="s">
        <v>1577</v>
      </c>
    </row>
    <row r="1432" spans="1:1" x14ac:dyDescent="0.2">
      <c r="A1432" t="s">
        <v>1578</v>
      </c>
    </row>
    <row r="1433" spans="1:1" x14ac:dyDescent="0.2">
      <c r="A1433" t="s">
        <v>1579</v>
      </c>
    </row>
    <row r="1434" spans="1:1" x14ac:dyDescent="0.2">
      <c r="A1434" t="s">
        <v>1580</v>
      </c>
    </row>
    <row r="1435" spans="1:1" x14ac:dyDescent="0.2">
      <c r="A1435" t="s">
        <v>1581</v>
      </c>
    </row>
    <row r="1436" spans="1:1" x14ac:dyDescent="0.2">
      <c r="A1436" t="s">
        <v>1582</v>
      </c>
    </row>
    <row r="1437" spans="1:1" x14ac:dyDescent="0.2">
      <c r="A1437" t="s">
        <v>1583</v>
      </c>
    </row>
    <row r="1438" spans="1:1" x14ac:dyDescent="0.2">
      <c r="A1438" t="s">
        <v>1584</v>
      </c>
    </row>
    <row r="1439" spans="1:1" x14ac:dyDescent="0.2">
      <c r="A1439" t="s">
        <v>1585</v>
      </c>
    </row>
    <row r="1440" spans="1:1" x14ac:dyDescent="0.2">
      <c r="A1440" t="s">
        <v>1586</v>
      </c>
    </row>
    <row r="1441" spans="1:1" x14ac:dyDescent="0.2">
      <c r="A1441" t="s">
        <v>1587</v>
      </c>
    </row>
    <row r="1442" spans="1:1" x14ac:dyDescent="0.2">
      <c r="A1442" t="s">
        <v>1588</v>
      </c>
    </row>
    <row r="1443" spans="1:1" x14ac:dyDescent="0.2">
      <c r="A1443" t="s">
        <v>1589</v>
      </c>
    </row>
    <row r="1444" spans="1:1" x14ac:dyDescent="0.2">
      <c r="A1444" t="s">
        <v>1590</v>
      </c>
    </row>
    <row r="1445" spans="1:1" x14ac:dyDescent="0.2">
      <c r="A1445" t="s">
        <v>1591</v>
      </c>
    </row>
    <row r="1446" spans="1:1" x14ac:dyDescent="0.2">
      <c r="A1446" t="s">
        <v>1592</v>
      </c>
    </row>
    <row r="1447" spans="1:1" x14ac:dyDescent="0.2">
      <c r="A1447" t="s">
        <v>1593</v>
      </c>
    </row>
    <row r="1448" spans="1:1" x14ac:dyDescent="0.2">
      <c r="A1448" t="s">
        <v>1594</v>
      </c>
    </row>
    <row r="1449" spans="1:1" x14ac:dyDescent="0.2">
      <c r="A1449" t="s">
        <v>1595</v>
      </c>
    </row>
    <row r="1450" spans="1:1" x14ac:dyDescent="0.2">
      <c r="A1450" t="s">
        <v>1596</v>
      </c>
    </row>
    <row r="1451" spans="1:1" x14ac:dyDescent="0.2">
      <c r="A1451" t="s">
        <v>1597</v>
      </c>
    </row>
    <row r="1452" spans="1:1" x14ac:dyDescent="0.2">
      <c r="A1452" t="s">
        <v>1598</v>
      </c>
    </row>
    <row r="1453" spans="1:1" x14ac:dyDescent="0.2">
      <c r="A1453" t="s">
        <v>1599</v>
      </c>
    </row>
    <row r="1454" spans="1:1" x14ac:dyDescent="0.2">
      <c r="A1454" t="s">
        <v>1600</v>
      </c>
    </row>
    <row r="1455" spans="1:1" x14ac:dyDescent="0.2">
      <c r="A1455" t="s">
        <v>1601</v>
      </c>
    </row>
    <row r="1456" spans="1:1" x14ac:dyDescent="0.2">
      <c r="A1456" t="s">
        <v>1602</v>
      </c>
    </row>
    <row r="1457" spans="1:1" x14ac:dyDescent="0.2">
      <c r="A1457" t="s">
        <v>1603</v>
      </c>
    </row>
    <row r="1458" spans="1:1" x14ac:dyDescent="0.2">
      <c r="A1458" t="s">
        <v>1604</v>
      </c>
    </row>
    <row r="1459" spans="1:1" x14ac:dyDescent="0.2">
      <c r="A1459" t="s">
        <v>1605</v>
      </c>
    </row>
    <row r="1460" spans="1:1" x14ac:dyDescent="0.2">
      <c r="A1460" t="s">
        <v>1606</v>
      </c>
    </row>
    <row r="1461" spans="1:1" x14ac:dyDescent="0.2">
      <c r="A1461" t="s">
        <v>1607</v>
      </c>
    </row>
    <row r="1462" spans="1:1" x14ac:dyDescent="0.2">
      <c r="A1462" t="s">
        <v>1608</v>
      </c>
    </row>
    <row r="1463" spans="1:1" x14ac:dyDescent="0.2">
      <c r="A1463" t="s">
        <v>1609</v>
      </c>
    </row>
    <row r="1464" spans="1:1" x14ac:dyDescent="0.2">
      <c r="A1464" t="s">
        <v>1610</v>
      </c>
    </row>
    <row r="1465" spans="1:1" x14ac:dyDescent="0.2">
      <c r="A1465" t="s">
        <v>1611</v>
      </c>
    </row>
    <row r="1466" spans="1:1" x14ac:dyDescent="0.2">
      <c r="A1466" t="s">
        <v>1612</v>
      </c>
    </row>
    <row r="1467" spans="1:1" x14ac:dyDescent="0.2">
      <c r="A1467" t="s">
        <v>1613</v>
      </c>
    </row>
    <row r="1468" spans="1:1" x14ac:dyDescent="0.2">
      <c r="A1468" t="s">
        <v>1614</v>
      </c>
    </row>
    <row r="1469" spans="1:1" x14ac:dyDescent="0.2">
      <c r="A1469" t="s">
        <v>1615</v>
      </c>
    </row>
    <row r="1470" spans="1:1" x14ac:dyDescent="0.2">
      <c r="A1470" t="s">
        <v>1616</v>
      </c>
    </row>
    <row r="1471" spans="1:1" x14ac:dyDescent="0.2">
      <c r="A1471" t="s">
        <v>1617</v>
      </c>
    </row>
    <row r="1472" spans="1:1" x14ac:dyDescent="0.2">
      <c r="A1472" t="s">
        <v>1618</v>
      </c>
    </row>
    <row r="1473" spans="1:1" x14ac:dyDescent="0.2">
      <c r="A1473" t="s">
        <v>1619</v>
      </c>
    </row>
    <row r="1474" spans="1:1" x14ac:dyDescent="0.2">
      <c r="A1474" t="s">
        <v>1620</v>
      </c>
    </row>
    <row r="1475" spans="1:1" x14ac:dyDescent="0.2">
      <c r="A1475" t="s">
        <v>1621</v>
      </c>
    </row>
    <row r="1476" spans="1:1" x14ac:dyDescent="0.2">
      <c r="A1476" t="s">
        <v>1622</v>
      </c>
    </row>
    <row r="1477" spans="1:1" x14ac:dyDescent="0.2">
      <c r="A1477" t="s">
        <v>1623</v>
      </c>
    </row>
    <row r="1478" spans="1:1" x14ac:dyDescent="0.2">
      <c r="A1478" t="s">
        <v>1624</v>
      </c>
    </row>
    <row r="1479" spans="1:1" x14ac:dyDescent="0.2">
      <c r="A1479" t="s">
        <v>1625</v>
      </c>
    </row>
    <row r="1480" spans="1:1" x14ac:dyDescent="0.2">
      <c r="A1480" t="s">
        <v>1626</v>
      </c>
    </row>
    <row r="1481" spans="1:1" x14ac:dyDescent="0.2">
      <c r="A1481" t="s">
        <v>1627</v>
      </c>
    </row>
    <row r="1482" spans="1:1" x14ac:dyDescent="0.2">
      <c r="A1482" t="s">
        <v>1628</v>
      </c>
    </row>
    <row r="1483" spans="1:1" x14ac:dyDescent="0.2">
      <c r="A1483" t="s">
        <v>1629</v>
      </c>
    </row>
    <row r="1484" spans="1:1" x14ac:dyDescent="0.2">
      <c r="A1484" t="s">
        <v>1630</v>
      </c>
    </row>
    <row r="1485" spans="1:1" x14ac:dyDescent="0.2">
      <c r="A1485" t="s">
        <v>1631</v>
      </c>
    </row>
    <row r="1486" spans="1:1" x14ac:dyDescent="0.2">
      <c r="A1486" t="s">
        <v>1632</v>
      </c>
    </row>
    <row r="1487" spans="1:1" x14ac:dyDescent="0.2">
      <c r="A1487" t="s">
        <v>1633</v>
      </c>
    </row>
    <row r="1488" spans="1:1" x14ac:dyDescent="0.2">
      <c r="A1488" t="s">
        <v>1634</v>
      </c>
    </row>
    <row r="1489" spans="1:1" x14ac:dyDescent="0.2">
      <c r="A1489" t="s">
        <v>1635</v>
      </c>
    </row>
    <row r="1490" spans="1:1" x14ac:dyDescent="0.2">
      <c r="A1490" t="s">
        <v>1636</v>
      </c>
    </row>
    <row r="1491" spans="1:1" x14ac:dyDescent="0.2">
      <c r="A1491" t="s">
        <v>1637</v>
      </c>
    </row>
    <row r="1492" spans="1:1" x14ac:dyDescent="0.2">
      <c r="A1492" t="s">
        <v>1638</v>
      </c>
    </row>
    <row r="1493" spans="1:1" x14ac:dyDescent="0.2">
      <c r="A1493" t="s">
        <v>1639</v>
      </c>
    </row>
    <row r="1494" spans="1:1" x14ac:dyDescent="0.2">
      <c r="A1494" t="s">
        <v>1640</v>
      </c>
    </row>
    <row r="1495" spans="1:1" x14ac:dyDescent="0.2">
      <c r="A1495" t="s">
        <v>1641</v>
      </c>
    </row>
    <row r="1496" spans="1:1" x14ac:dyDescent="0.2">
      <c r="A1496" t="s">
        <v>1642</v>
      </c>
    </row>
    <row r="1497" spans="1:1" x14ac:dyDescent="0.2">
      <c r="A1497" t="s">
        <v>1643</v>
      </c>
    </row>
    <row r="1498" spans="1:1" x14ac:dyDescent="0.2">
      <c r="A1498" t="s">
        <v>1644</v>
      </c>
    </row>
    <row r="1499" spans="1:1" x14ac:dyDescent="0.2">
      <c r="A1499" t="s">
        <v>1645</v>
      </c>
    </row>
    <row r="1500" spans="1:1" x14ac:dyDescent="0.2">
      <c r="A1500" t="s">
        <v>1646</v>
      </c>
    </row>
    <row r="1501" spans="1:1" x14ac:dyDescent="0.2">
      <c r="A1501" t="s">
        <v>1647</v>
      </c>
    </row>
    <row r="1502" spans="1:1" x14ac:dyDescent="0.2">
      <c r="A1502" t="s">
        <v>1648</v>
      </c>
    </row>
    <row r="1503" spans="1:1" x14ac:dyDescent="0.2">
      <c r="A1503" t="s">
        <v>1649</v>
      </c>
    </row>
    <row r="1504" spans="1:1" x14ac:dyDescent="0.2">
      <c r="A1504" t="s">
        <v>1650</v>
      </c>
    </row>
    <row r="1505" spans="1:1" x14ac:dyDescent="0.2">
      <c r="A1505" t="s">
        <v>1651</v>
      </c>
    </row>
    <row r="1506" spans="1:1" x14ac:dyDescent="0.2">
      <c r="A1506" t="s">
        <v>1652</v>
      </c>
    </row>
    <row r="1507" spans="1:1" x14ac:dyDescent="0.2">
      <c r="A1507" t="s">
        <v>1653</v>
      </c>
    </row>
    <row r="1508" spans="1:1" x14ac:dyDescent="0.2">
      <c r="A1508" t="s">
        <v>1654</v>
      </c>
    </row>
    <row r="1509" spans="1:1" x14ac:dyDescent="0.2">
      <c r="A1509" t="s">
        <v>1655</v>
      </c>
    </row>
    <row r="1510" spans="1:1" x14ac:dyDescent="0.2">
      <c r="A1510" t="s">
        <v>1656</v>
      </c>
    </row>
    <row r="1511" spans="1:1" x14ac:dyDescent="0.2">
      <c r="A1511" t="s">
        <v>1657</v>
      </c>
    </row>
    <row r="1512" spans="1:1" x14ac:dyDescent="0.2">
      <c r="A1512" t="s">
        <v>1658</v>
      </c>
    </row>
    <row r="1513" spans="1:1" x14ac:dyDescent="0.2">
      <c r="A1513" t="s">
        <v>1659</v>
      </c>
    </row>
    <row r="1514" spans="1:1" x14ac:dyDescent="0.2">
      <c r="A1514" t="s">
        <v>1660</v>
      </c>
    </row>
    <row r="1515" spans="1:1" x14ac:dyDescent="0.2">
      <c r="A1515" t="s">
        <v>1661</v>
      </c>
    </row>
    <row r="1516" spans="1:1" x14ac:dyDescent="0.2">
      <c r="A1516" t="s">
        <v>1662</v>
      </c>
    </row>
    <row r="1517" spans="1:1" x14ac:dyDescent="0.2">
      <c r="A1517" t="s">
        <v>1663</v>
      </c>
    </row>
    <row r="1518" spans="1:1" x14ac:dyDescent="0.2">
      <c r="A1518" t="s">
        <v>1664</v>
      </c>
    </row>
    <row r="1519" spans="1:1" x14ac:dyDescent="0.2">
      <c r="A1519" t="s">
        <v>1665</v>
      </c>
    </row>
    <row r="1520" spans="1:1" x14ac:dyDescent="0.2">
      <c r="A1520" t="s">
        <v>1666</v>
      </c>
    </row>
    <row r="1521" spans="1:1" x14ac:dyDescent="0.2">
      <c r="A1521" t="s">
        <v>1667</v>
      </c>
    </row>
    <row r="1522" spans="1:1" x14ac:dyDescent="0.2">
      <c r="A1522" t="s">
        <v>1668</v>
      </c>
    </row>
    <row r="1523" spans="1:1" x14ac:dyDescent="0.2">
      <c r="A1523" t="s">
        <v>1669</v>
      </c>
    </row>
    <row r="1524" spans="1:1" x14ac:dyDescent="0.2">
      <c r="A1524" t="s">
        <v>1670</v>
      </c>
    </row>
    <row r="1525" spans="1:1" x14ac:dyDescent="0.2">
      <c r="A1525" t="s">
        <v>1671</v>
      </c>
    </row>
    <row r="1526" spans="1:1" x14ac:dyDescent="0.2">
      <c r="A1526" t="s">
        <v>1672</v>
      </c>
    </row>
    <row r="1527" spans="1:1" x14ac:dyDescent="0.2">
      <c r="A1527" t="s">
        <v>1673</v>
      </c>
    </row>
    <row r="1528" spans="1:1" x14ac:dyDescent="0.2">
      <c r="A1528" t="s">
        <v>1674</v>
      </c>
    </row>
    <row r="1529" spans="1:1" x14ac:dyDescent="0.2">
      <c r="A1529" t="s">
        <v>1675</v>
      </c>
    </row>
    <row r="1530" spans="1:1" x14ac:dyDescent="0.2">
      <c r="A1530" t="s">
        <v>1676</v>
      </c>
    </row>
    <row r="1531" spans="1:1" x14ac:dyDescent="0.2">
      <c r="A1531" t="s">
        <v>1677</v>
      </c>
    </row>
    <row r="1532" spans="1:1" x14ac:dyDescent="0.2">
      <c r="A1532" t="s">
        <v>1678</v>
      </c>
    </row>
    <row r="1533" spans="1:1" x14ac:dyDescent="0.2">
      <c r="A1533" t="s">
        <v>1679</v>
      </c>
    </row>
    <row r="1534" spans="1:1" x14ac:dyDescent="0.2">
      <c r="A1534" t="s">
        <v>1680</v>
      </c>
    </row>
    <row r="1535" spans="1:1" x14ac:dyDescent="0.2">
      <c r="A1535" t="s">
        <v>1681</v>
      </c>
    </row>
    <row r="1536" spans="1:1" x14ac:dyDescent="0.2">
      <c r="A1536" t="s">
        <v>1682</v>
      </c>
    </row>
    <row r="1537" spans="1:1" x14ac:dyDescent="0.2">
      <c r="A1537" t="s">
        <v>1683</v>
      </c>
    </row>
    <row r="1538" spans="1:1" x14ac:dyDescent="0.2">
      <c r="A1538" t="s">
        <v>1684</v>
      </c>
    </row>
    <row r="1539" spans="1:1" x14ac:dyDescent="0.2">
      <c r="A1539" t="s">
        <v>1685</v>
      </c>
    </row>
    <row r="1540" spans="1:1" x14ac:dyDescent="0.2">
      <c r="A1540" t="s">
        <v>1686</v>
      </c>
    </row>
    <row r="1541" spans="1:1" x14ac:dyDescent="0.2">
      <c r="A1541" t="s">
        <v>1687</v>
      </c>
    </row>
    <row r="1542" spans="1:1" x14ac:dyDescent="0.2">
      <c r="A1542" t="s">
        <v>1688</v>
      </c>
    </row>
    <row r="1543" spans="1:1" x14ac:dyDescent="0.2">
      <c r="A1543" t="s">
        <v>1689</v>
      </c>
    </row>
    <row r="1544" spans="1:1" x14ac:dyDescent="0.2">
      <c r="A1544" t="s">
        <v>1690</v>
      </c>
    </row>
    <row r="1545" spans="1:1" x14ac:dyDescent="0.2">
      <c r="A1545" t="s">
        <v>1691</v>
      </c>
    </row>
    <row r="1546" spans="1:1" x14ac:dyDescent="0.2">
      <c r="A1546" t="s">
        <v>1692</v>
      </c>
    </row>
    <row r="1547" spans="1:1" x14ac:dyDescent="0.2">
      <c r="A1547" t="s">
        <v>1693</v>
      </c>
    </row>
    <row r="1548" spans="1:1" x14ac:dyDescent="0.2">
      <c r="A1548" t="s">
        <v>1694</v>
      </c>
    </row>
    <row r="1549" spans="1:1" x14ac:dyDescent="0.2">
      <c r="A1549" t="s">
        <v>1695</v>
      </c>
    </row>
    <row r="1550" spans="1:1" x14ac:dyDescent="0.2">
      <c r="A1550" t="s">
        <v>1696</v>
      </c>
    </row>
    <row r="1551" spans="1:1" x14ac:dyDescent="0.2">
      <c r="A1551" t="s">
        <v>1697</v>
      </c>
    </row>
    <row r="1552" spans="1:1" x14ac:dyDescent="0.2">
      <c r="A1552" t="s">
        <v>1698</v>
      </c>
    </row>
    <row r="1553" spans="1:1" x14ac:dyDescent="0.2">
      <c r="A1553" t="s">
        <v>1699</v>
      </c>
    </row>
    <row r="1554" spans="1:1" x14ac:dyDescent="0.2">
      <c r="A1554" t="s">
        <v>1700</v>
      </c>
    </row>
    <row r="1555" spans="1:1" x14ac:dyDescent="0.2">
      <c r="A1555" t="s">
        <v>1701</v>
      </c>
    </row>
    <row r="1556" spans="1:1" x14ac:dyDescent="0.2">
      <c r="A1556" t="s">
        <v>1702</v>
      </c>
    </row>
    <row r="1557" spans="1:1" x14ac:dyDescent="0.2">
      <c r="A1557" t="s">
        <v>1703</v>
      </c>
    </row>
    <row r="1558" spans="1:1" x14ac:dyDescent="0.2">
      <c r="A1558" t="s">
        <v>1704</v>
      </c>
    </row>
    <row r="1559" spans="1:1" x14ac:dyDescent="0.2">
      <c r="A1559" t="s">
        <v>1705</v>
      </c>
    </row>
    <row r="1560" spans="1:1" x14ac:dyDescent="0.2">
      <c r="A1560" t="s">
        <v>1706</v>
      </c>
    </row>
    <row r="1561" spans="1:1" x14ac:dyDescent="0.2">
      <c r="A1561" t="s">
        <v>1707</v>
      </c>
    </row>
    <row r="1562" spans="1:1" x14ac:dyDescent="0.2">
      <c r="A1562" t="s">
        <v>1708</v>
      </c>
    </row>
    <row r="1563" spans="1:1" x14ac:dyDescent="0.2">
      <c r="A1563" t="s">
        <v>1709</v>
      </c>
    </row>
    <row r="1564" spans="1:1" x14ac:dyDescent="0.2">
      <c r="A1564" t="s">
        <v>1710</v>
      </c>
    </row>
    <row r="1565" spans="1:1" x14ac:dyDescent="0.2">
      <c r="A1565" t="s">
        <v>1711</v>
      </c>
    </row>
    <row r="1566" spans="1:1" x14ac:dyDescent="0.2">
      <c r="A1566" t="s">
        <v>1712</v>
      </c>
    </row>
    <row r="1567" spans="1:1" x14ac:dyDescent="0.2">
      <c r="A1567" t="s">
        <v>1713</v>
      </c>
    </row>
    <row r="1568" spans="1:1" x14ac:dyDescent="0.2">
      <c r="A1568" t="s">
        <v>1714</v>
      </c>
    </row>
    <row r="1569" spans="1:1" x14ac:dyDescent="0.2">
      <c r="A1569" t="s">
        <v>1715</v>
      </c>
    </row>
    <row r="1570" spans="1:1" x14ac:dyDescent="0.2">
      <c r="A1570" t="s">
        <v>1716</v>
      </c>
    </row>
    <row r="1571" spans="1:1" x14ac:dyDescent="0.2">
      <c r="A1571" t="s">
        <v>1717</v>
      </c>
    </row>
    <row r="1572" spans="1:1" x14ac:dyDescent="0.2">
      <c r="A1572" t="s">
        <v>1718</v>
      </c>
    </row>
    <row r="1573" spans="1:1" x14ac:dyDescent="0.2">
      <c r="A1573" t="s">
        <v>1719</v>
      </c>
    </row>
    <row r="1574" spans="1:1" x14ac:dyDescent="0.2">
      <c r="A1574" t="s">
        <v>1720</v>
      </c>
    </row>
    <row r="1575" spans="1:1" x14ac:dyDescent="0.2">
      <c r="A1575" t="s">
        <v>1721</v>
      </c>
    </row>
    <row r="1576" spans="1:1" x14ac:dyDescent="0.2">
      <c r="A1576" t="s">
        <v>1722</v>
      </c>
    </row>
    <row r="1577" spans="1:1" x14ac:dyDescent="0.2">
      <c r="A1577" t="s">
        <v>1723</v>
      </c>
    </row>
    <row r="1578" spans="1:1" x14ac:dyDescent="0.2">
      <c r="A1578" t="s">
        <v>1724</v>
      </c>
    </row>
    <row r="1579" spans="1:1" x14ac:dyDescent="0.2">
      <c r="A1579" t="s">
        <v>1725</v>
      </c>
    </row>
    <row r="1580" spans="1:1" x14ac:dyDescent="0.2">
      <c r="A1580" t="s">
        <v>1726</v>
      </c>
    </row>
    <row r="1581" spans="1:1" x14ac:dyDescent="0.2">
      <c r="A1581" t="s">
        <v>1727</v>
      </c>
    </row>
    <row r="1582" spans="1:1" x14ac:dyDescent="0.2">
      <c r="A1582" t="s">
        <v>1728</v>
      </c>
    </row>
    <row r="1583" spans="1:1" x14ac:dyDescent="0.2">
      <c r="A1583" t="s">
        <v>1729</v>
      </c>
    </row>
    <row r="1584" spans="1:1" x14ac:dyDescent="0.2">
      <c r="A1584" t="s">
        <v>1730</v>
      </c>
    </row>
    <row r="1585" spans="1:1" x14ac:dyDescent="0.2">
      <c r="A1585" t="s">
        <v>1731</v>
      </c>
    </row>
    <row r="1586" spans="1:1" x14ac:dyDescent="0.2">
      <c r="A1586" t="s">
        <v>1732</v>
      </c>
    </row>
    <row r="1587" spans="1:1" x14ac:dyDescent="0.2">
      <c r="A1587" t="s">
        <v>1733</v>
      </c>
    </row>
    <row r="1588" spans="1:1" x14ac:dyDescent="0.2">
      <c r="A1588" t="s">
        <v>1734</v>
      </c>
    </row>
    <row r="1589" spans="1:1" x14ac:dyDescent="0.2">
      <c r="A1589" t="s">
        <v>1735</v>
      </c>
    </row>
    <row r="1590" spans="1:1" x14ac:dyDescent="0.2">
      <c r="A1590" t="s">
        <v>1736</v>
      </c>
    </row>
    <row r="1591" spans="1:1" x14ac:dyDescent="0.2">
      <c r="A1591" t="s">
        <v>1737</v>
      </c>
    </row>
    <row r="1592" spans="1:1" x14ac:dyDescent="0.2">
      <c r="A1592" t="s">
        <v>1738</v>
      </c>
    </row>
    <row r="1593" spans="1:1" x14ac:dyDescent="0.2">
      <c r="A1593" t="s">
        <v>1739</v>
      </c>
    </row>
    <row r="1594" spans="1:1" x14ac:dyDescent="0.2">
      <c r="A1594" t="s">
        <v>1740</v>
      </c>
    </row>
    <row r="1595" spans="1:1" x14ac:dyDescent="0.2">
      <c r="A1595" t="s">
        <v>1741</v>
      </c>
    </row>
    <row r="1596" spans="1:1" x14ac:dyDescent="0.2">
      <c r="A1596" t="s">
        <v>1742</v>
      </c>
    </row>
    <row r="1597" spans="1:1" x14ac:dyDescent="0.2">
      <c r="A1597" t="s">
        <v>1743</v>
      </c>
    </row>
    <row r="1598" spans="1:1" x14ac:dyDescent="0.2">
      <c r="A1598" t="s">
        <v>1744</v>
      </c>
    </row>
    <row r="1599" spans="1:1" x14ac:dyDescent="0.2">
      <c r="A1599" t="s">
        <v>1745</v>
      </c>
    </row>
    <row r="1600" spans="1:1" x14ac:dyDescent="0.2">
      <c r="A1600" t="s">
        <v>1746</v>
      </c>
    </row>
    <row r="1601" spans="1:1" x14ac:dyDescent="0.2">
      <c r="A1601" t="s">
        <v>1747</v>
      </c>
    </row>
    <row r="1602" spans="1:1" x14ac:dyDescent="0.2">
      <c r="A1602" t="s">
        <v>1748</v>
      </c>
    </row>
    <row r="1603" spans="1:1" x14ac:dyDescent="0.2">
      <c r="A1603" t="s">
        <v>1749</v>
      </c>
    </row>
    <row r="1604" spans="1:1" x14ac:dyDescent="0.2">
      <c r="A1604" t="s">
        <v>1750</v>
      </c>
    </row>
    <row r="1605" spans="1:1" x14ac:dyDescent="0.2">
      <c r="A1605" t="s">
        <v>1751</v>
      </c>
    </row>
    <row r="1606" spans="1:1" x14ac:dyDescent="0.2">
      <c r="A1606" t="s">
        <v>1752</v>
      </c>
    </row>
    <row r="1607" spans="1:1" x14ac:dyDescent="0.2">
      <c r="A1607" t="s">
        <v>1753</v>
      </c>
    </row>
    <row r="1608" spans="1:1" x14ac:dyDescent="0.2">
      <c r="A1608" t="s">
        <v>1754</v>
      </c>
    </row>
    <row r="1609" spans="1:1" x14ac:dyDescent="0.2">
      <c r="A1609" t="s">
        <v>1755</v>
      </c>
    </row>
    <row r="1610" spans="1:1" x14ac:dyDescent="0.2">
      <c r="A1610" t="s">
        <v>1756</v>
      </c>
    </row>
    <row r="1611" spans="1:1" x14ac:dyDescent="0.2">
      <c r="A1611" t="s">
        <v>1757</v>
      </c>
    </row>
    <row r="1612" spans="1:1" x14ac:dyDescent="0.2">
      <c r="A1612" t="s">
        <v>1758</v>
      </c>
    </row>
    <row r="1613" spans="1:1" x14ac:dyDescent="0.2">
      <c r="A1613" t="s">
        <v>1759</v>
      </c>
    </row>
    <row r="1614" spans="1:1" x14ac:dyDescent="0.2">
      <c r="A1614" t="s">
        <v>1760</v>
      </c>
    </row>
    <row r="1615" spans="1:1" x14ac:dyDescent="0.2">
      <c r="A1615" t="s">
        <v>1761</v>
      </c>
    </row>
    <row r="1616" spans="1:1" x14ac:dyDescent="0.2">
      <c r="A1616" t="s">
        <v>1762</v>
      </c>
    </row>
    <row r="1617" spans="1:1" x14ac:dyDescent="0.2">
      <c r="A1617" t="s">
        <v>1763</v>
      </c>
    </row>
    <row r="1618" spans="1:1" x14ac:dyDescent="0.2">
      <c r="A1618" t="s">
        <v>1764</v>
      </c>
    </row>
    <row r="1619" spans="1:1" x14ac:dyDescent="0.2">
      <c r="A1619" t="s">
        <v>1765</v>
      </c>
    </row>
    <row r="1620" spans="1:1" x14ac:dyDescent="0.2">
      <c r="A1620" t="s">
        <v>1766</v>
      </c>
    </row>
    <row r="1621" spans="1:1" x14ac:dyDescent="0.2">
      <c r="A1621" t="s">
        <v>1767</v>
      </c>
    </row>
    <row r="1622" spans="1:1" x14ac:dyDescent="0.2">
      <c r="A1622" t="s">
        <v>1768</v>
      </c>
    </row>
    <row r="1623" spans="1:1" x14ac:dyDescent="0.2">
      <c r="A1623" t="s">
        <v>1769</v>
      </c>
    </row>
    <row r="1624" spans="1:1" x14ac:dyDescent="0.2">
      <c r="A1624" t="s">
        <v>1770</v>
      </c>
    </row>
    <row r="1625" spans="1:1" x14ac:dyDescent="0.2">
      <c r="A1625" t="s">
        <v>1771</v>
      </c>
    </row>
    <row r="1626" spans="1:1" x14ac:dyDescent="0.2">
      <c r="A1626" t="s">
        <v>1772</v>
      </c>
    </row>
    <row r="1627" spans="1:1" x14ac:dyDescent="0.2">
      <c r="A1627" t="s">
        <v>1773</v>
      </c>
    </row>
    <row r="1628" spans="1:1" x14ac:dyDescent="0.2">
      <c r="A1628" t="s">
        <v>1774</v>
      </c>
    </row>
    <row r="1629" spans="1:1" x14ac:dyDescent="0.2">
      <c r="A1629" t="s">
        <v>1775</v>
      </c>
    </row>
    <row r="1630" spans="1:1" x14ac:dyDescent="0.2">
      <c r="A1630" t="s">
        <v>1776</v>
      </c>
    </row>
    <row r="1631" spans="1:1" x14ac:dyDescent="0.2">
      <c r="A1631" t="s">
        <v>1777</v>
      </c>
    </row>
    <row r="1632" spans="1:1" x14ac:dyDescent="0.2">
      <c r="A1632" t="s">
        <v>1778</v>
      </c>
    </row>
    <row r="1633" spans="1:1" x14ac:dyDescent="0.2">
      <c r="A1633" t="s">
        <v>1779</v>
      </c>
    </row>
    <row r="1634" spans="1:1" x14ac:dyDescent="0.2">
      <c r="A1634" t="s">
        <v>1780</v>
      </c>
    </row>
    <row r="1635" spans="1:1" x14ac:dyDescent="0.2">
      <c r="A1635" t="s">
        <v>1781</v>
      </c>
    </row>
    <row r="1636" spans="1:1" x14ac:dyDescent="0.2">
      <c r="A1636" t="s">
        <v>1782</v>
      </c>
    </row>
    <row r="1637" spans="1:1" x14ac:dyDescent="0.2">
      <c r="A1637" t="s">
        <v>1783</v>
      </c>
    </row>
    <row r="1638" spans="1:1" x14ac:dyDescent="0.2">
      <c r="A1638" t="s">
        <v>1784</v>
      </c>
    </row>
    <row r="1639" spans="1:1" x14ac:dyDescent="0.2">
      <c r="A1639" t="s">
        <v>1785</v>
      </c>
    </row>
    <row r="1640" spans="1:1" x14ac:dyDescent="0.2">
      <c r="A1640" t="s">
        <v>1786</v>
      </c>
    </row>
    <row r="1641" spans="1:1" x14ac:dyDescent="0.2">
      <c r="A1641" t="s">
        <v>1787</v>
      </c>
    </row>
    <row r="1642" spans="1:1" x14ac:dyDescent="0.2">
      <c r="A1642" t="s">
        <v>1788</v>
      </c>
    </row>
    <row r="1643" spans="1:1" x14ac:dyDescent="0.2">
      <c r="A1643" t="s">
        <v>1789</v>
      </c>
    </row>
    <row r="1644" spans="1:1" x14ac:dyDescent="0.2">
      <c r="A1644" t="s">
        <v>1790</v>
      </c>
    </row>
    <row r="1645" spans="1:1" x14ac:dyDescent="0.2">
      <c r="A1645" t="s">
        <v>1791</v>
      </c>
    </row>
    <row r="1646" spans="1:1" x14ac:dyDescent="0.2">
      <c r="A1646" t="s">
        <v>1792</v>
      </c>
    </row>
    <row r="1647" spans="1:1" x14ac:dyDescent="0.2">
      <c r="A1647" t="s">
        <v>1793</v>
      </c>
    </row>
    <row r="1648" spans="1:1" x14ac:dyDescent="0.2">
      <c r="A1648" t="s">
        <v>1794</v>
      </c>
    </row>
    <row r="1649" spans="1:1" x14ac:dyDescent="0.2">
      <c r="A1649" t="s">
        <v>1795</v>
      </c>
    </row>
    <row r="1650" spans="1:1" x14ac:dyDescent="0.2">
      <c r="A1650" t="s">
        <v>1796</v>
      </c>
    </row>
    <row r="1651" spans="1:1" x14ac:dyDescent="0.2">
      <c r="A1651" t="s">
        <v>1797</v>
      </c>
    </row>
    <row r="1652" spans="1:1" x14ac:dyDescent="0.2">
      <c r="A1652" t="s">
        <v>1798</v>
      </c>
    </row>
    <row r="1653" spans="1:1" x14ac:dyDescent="0.2">
      <c r="A1653" t="s">
        <v>1799</v>
      </c>
    </row>
    <row r="1654" spans="1:1" x14ac:dyDescent="0.2">
      <c r="A1654" t="s">
        <v>1800</v>
      </c>
    </row>
    <row r="1655" spans="1:1" x14ac:dyDescent="0.2">
      <c r="A1655" t="s">
        <v>1801</v>
      </c>
    </row>
    <row r="1656" spans="1:1" x14ac:dyDescent="0.2">
      <c r="A1656" t="s">
        <v>1802</v>
      </c>
    </row>
    <row r="1657" spans="1:1" x14ac:dyDescent="0.2">
      <c r="A1657" t="s">
        <v>1803</v>
      </c>
    </row>
    <row r="1658" spans="1:1" x14ac:dyDescent="0.2">
      <c r="A1658" t="s">
        <v>1804</v>
      </c>
    </row>
    <row r="1659" spans="1:1" x14ac:dyDescent="0.2">
      <c r="A1659" t="s">
        <v>1805</v>
      </c>
    </row>
    <row r="1660" spans="1:1" x14ac:dyDescent="0.2">
      <c r="A1660" t="s">
        <v>1806</v>
      </c>
    </row>
    <row r="1661" spans="1:1" x14ac:dyDescent="0.2">
      <c r="A1661" t="s">
        <v>1807</v>
      </c>
    </row>
    <row r="1662" spans="1:1" x14ac:dyDescent="0.2">
      <c r="A1662" t="s">
        <v>1808</v>
      </c>
    </row>
    <row r="1663" spans="1:1" x14ac:dyDescent="0.2">
      <c r="A1663" t="s">
        <v>1809</v>
      </c>
    </row>
    <row r="1664" spans="1:1" x14ac:dyDescent="0.2">
      <c r="A1664" t="s">
        <v>1810</v>
      </c>
    </row>
    <row r="1665" spans="1:1" x14ac:dyDescent="0.2">
      <c r="A1665" t="s">
        <v>1811</v>
      </c>
    </row>
    <row r="1666" spans="1:1" x14ac:dyDescent="0.2">
      <c r="A1666" t="s">
        <v>1812</v>
      </c>
    </row>
    <row r="1667" spans="1:1" x14ac:dyDescent="0.2">
      <c r="A1667" t="s">
        <v>1813</v>
      </c>
    </row>
    <row r="1668" spans="1:1" x14ac:dyDescent="0.2">
      <c r="A1668" t="s">
        <v>1814</v>
      </c>
    </row>
    <row r="1669" spans="1:1" x14ac:dyDescent="0.2">
      <c r="A1669" t="s">
        <v>1815</v>
      </c>
    </row>
    <row r="1670" spans="1:1" x14ac:dyDescent="0.2">
      <c r="A1670" t="s">
        <v>1816</v>
      </c>
    </row>
    <row r="1671" spans="1:1" x14ac:dyDescent="0.2">
      <c r="A1671" t="s">
        <v>1817</v>
      </c>
    </row>
    <row r="1672" spans="1:1" x14ac:dyDescent="0.2">
      <c r="A1672" t="s">
        <v>1818</v>
      </c>
    </row>
    <row r="1673" spans="1:1" x14ac:dyDescent="0.2">
      <c r="A1673" t="s">
        <v>1819</v>
      </c>
    </row>
    <row r="1674" spans="1:1" x14ac:dyDescent="0.2">
      <c r="A1674" t="s">
        <v>1820</v>
      </c>
    </row>
    <row r="1675" spans="1:1" x14ac:dyDescent="0.2">
      <c r="A1675" t="s">
        <v>1821</v>
      </c>
    </row>
    <row r="1676" spans="1:1" x14ac:dyDescent="0.2">
      <c r="A1676" t="s">
        <v>1822</v>
      </c>
    </row>
    <row r="1677" spans="1:1" x14ac:dyDescent="0.2">
      <c r="A1677" t="s">
        <v>1823</v>
      </c>
    </row>
    <row r="1678" spans="1:1" x14ac:dyDescent="0.2">
      <c r="A1678" t="s">
        <v>1824</v>
      </c>
    </row>
    <row r="1679" spans="1:1" x14ac:dyDescent="0.2">
      <c r="A1679" t="s">
        <v>1825</v>
      </c>
    </row>
    <row r="1680" spans="1:1" x14ac:dyDescent="0.2">
      <c r="A1680" t="s">
        <v>1826</v>
      </c>
    </row>
    <row r="1681" spans="1:1" x14ac:dyDescent="0.2">
      <c r="A1681" t="s">
        <v>1827</v>
      </c>
    </row>
    <row r="1682" spans="1:1" x14ac:dyDescent="0.2">
      <c r="A1682" t="s">
        <v>1828</v>
      </c>
    </row>
    <row r="1683" spans="1:1" x14ac:dyDescent="0.2">
      <c r="A1683" t="s">
        <v>1829</v>
      </c>
    </row>
    <row r="1684" spans="1:1" x14ac:dyDescent="0.2">
      <c r="A1684" t="s">
        <v>1830</v>
      </c>
    </row>
    <row r="1685" spans="1:1" x14ac:dyDescent="0.2">
      <c r="A1685" t="s">
        <v>1831</v>
      </c>
    </row>
    <row r="1686" spans="1:1" x14ac:dyDescent="0.2">
      <c r="A1686" t="s">
        <v>1832</v>
      </c>
    </row>
    <row r="1687" spans="1:1" x14ac:dyDescent="0.2">
      <c r="A1687" t="s">
        <v>1833</v>
      </c>
    </row>
    <row r="1688" spans="1:1" x14ac:dyDescent="0.2">
      <c r="A1688" t="s">
        <v>1834</v>
      </c>
    </row>
    <row r="1689" spans="1:1" x14ac:dyDescent="0.2">
      <c r="A1689" t="s">
        <v>1835</v>
      </c>
    </row>
    <row r="1690" spans="1:1" x14ac:dyDescent="0.2">
      <c r="A1690" t="s">
        <v>1836</v>
      </c>
    </row>
    <row r="1691" spans="1:1" x14ac:dyDescent="0.2">
      <c r="A1691" t="s">
        <v>1837</v>
      </c>
    </row>
    <row r="1692" spans="1:1" x14ac:dyDescent="0.2">
      <c r="A1692" t="s">
        <v>1838</v>
      </c>
    </row>
    <row r="1693" spans="1:1" x14ac:dyDescent="0.2">
      <c r="A1693" t="s">
        <v>1839</v>
      </c>
    </row>
    <row r="1694" spans="1:1" x14ac:dyDescent="0.2">
      <c r="A1694" t="s">
        <v>1840</v>
      </c>
    </row>
    <row r="1695" spans="1:1" x14ac:dyDescent="0.2">
      <c r="A1695" t="s">
        <v>1841</v>
      </c>
    </row>
    <row r="1696" spans="1:1" x14ac:dyDescent="0.2">
      <c r="A1696" t="s">
        <v>1842</v>
      </c>
    </row>
    <row r="1697" spans="1:1" x14ac:dyDescent="0.2">
      <c r="A1697" t="s">
        <v>1843</v>
      </c>
    </row>
    <row r="1698" spans="1:1" x14ac:dyDescent="0.2">
      <c r="A1698" t="s">
        <v>1844</v>
      </c>
    </row>
    <row r="1699" spans="1:1" x14ac:dyDescent="0.2">
      <c r="A1699" t="s">
        <v>1845</v>
      </c>
    </row>
    <row r="1700" spans="1:1" x14ac:dyDescent="0.2">
      <c r="A1700" t="s">
        <v>1846</v>
      </c>
    </row>
    <row r="1701" spans="1:1" x14ac:dyDescent="0.2">
      <c r="A1701" t="s">
        <v>1847</v>
      </c>
    </row>
    <row r="1702" spans="1:1" x14ac:dyDescent="0.2">
      <c r="A1702" t="s">
        <v>1848</v>
      </c>
    </row>
    <row r="1703" spans="1:1" x14ac:dyDescent="0.2">
      <c r="A1703" t="s">
        <v>1849</v>
      </c>
    </row>
    <row r="1704" spans="1:1" x14ac:dyDescent="0.2">
      <c r="A1704" t="s">
        <v>1850</v>
      </c>
    </row>
    <row r="1705" spans="1:1" x14ac:dyDescent="0.2">
      <c r="A1705" t="s">
        <v>1851</v>
      </c>
    </row>
    <row r="1706" spans="1:1" x14ac:dyDescent="0.2">
      <c r="A1706" t="s">
        <v>1852</v>
      </c>
    </row>
    <row r="1707" spans="1:1" x14ac:dyDescent="0.2">
      <c r="A1707" t="s">
        <v>1853</v>
      </c>
    </row>
    <row r="1708" spans="1:1" x14ac:dyDescent="0.2">
      <c r="A1708" t="s">
        <v>1854</v>
      </c>
    </row>
    <row r="1709" spans="1:1" x14ac:dyDescent="0.2">
      <c r="A1709" t="s">
        <v>1855</v>
      </c>
    </row>
    <row r="1710" spans="1:1" x14ac:dyDescent="0.2">
      <c r="A1710" t="s">
        <v>1856</v>
      </c>
    </row>
    <row r="1711" spans="1:1" x14ac:dyDescent="0.2">
      <c r="A1711" t="s">
        <v>1857</v>
      </c>
    </row>
    <row r="1712" spans="1:1" x14ac:dyDescent="0.2">
      <c r="A1712" t="s">
        <v>1858</v>
      </c>
    </row>
    <row r="1713" spans="1:1" x14ac:dyDescent="0.2">
      <c r="A1713" t="s">
        <v>1859</v>
      </c>
    </row>
    <row r="1714" spans="1:1" x14ac:dyDescent="0.2">
      <c r="A1714" t="s">
        <v>1860</v>
      </c>
    </row>
    <row r="1715" spans="1:1" x14ac:dyDescent="0.2">
      <c r="A1715" t="s">
        <v>1861</v>
      </c>
    </row>
    <row r="1716" spans="1:1" x14ac:dyDescent="0.2">
      <c r="A1716" t="s">
        <v>1862</v>
      </c>
    </row>
    <row r="1717" spans="1:1" x14ac:dyDescent="0.2">
      <c r="A1717" t="s">
        <v>1863</v>
      </c>
    </row>
    <row r="1718" spans="1:1" x14ac:dyDescent="0.2">
      <c r="A1718" t="s">
        <v>1864</v>
      </c>
    </row>
    <row r="1719" spans="1:1" x14ac:dyDescent="0.2">
      <c r="A1719" t="s">
        <v>1865</v>
      </c>
    </row>
    <row r="1720" spans="1:1" x14ac:dyDescent="0.2">
      <c r="A1720" t="s">
        <v>1866</v>
      </c>
    </row>
    <row r="1721" spans="1:1" x14ac:dyDescent="0.2">
      <c r="A1721" t="s">
        <v>1867</v>
      </c>
    </row>
    <row r="1722" spans="1:1" x14ac:dyDescent="0.2">
      <c r="A1722" t="s">
        <v>1868</v>
      </c>
    </row>
    <row r="1723" spans="1:1" x14ac:dyDescent="0.2">
      <c r="A1723" t="s">
        <v>1869</v>
      </c>
    </row>
    <row r="1724" spans="1:1" x14ac:dyDescent="0.2">
      <c r="A1724" t="s">
        <v>1870</v>
      </c>
    </row>
    <row r="1725" spans="1:1" x14ac:dyDescent="0.2">
      <c r="A1725" t="s">
        <v>1871</v>
      </c>
    </row>
    <row r="1726" spans="1:1" x14ac:dyDescent="0.2">
      <c r="A1726" t="s">
        <v>1872</v>
      </c>
    </row>
    <row r="1727" spans="1:1" x14ac:dyDescent="0.2">
      <c r="A1727" t="s">
        <v>1873</v>
      </c>
    </row>
    <row r="1728" spans="1:1" x14ac:dyDescent="0.2">
      <c r="A1728" t="s">
        <v>1874</v>
      </c>
    </row>
    <row r="1729" spans="1:1" x14ac:dyDescent="0.2">
      <c r="A1729" t="s">
        <v>1875</v>
      </c>
    </row>
    <row r="1730" spans="1:1" x14ac:dyDescent="0.2">
      <c r="A1730" t="s">
        <v>1876</v>
      </c>
    </row>
    <row r="1731" spans="1:1" x14ac:dyDescent="0.2">
      <c r="A1731" t="s">
        <v>1877</v>
      </c>
    </row>
    <row r="1732" spans="1:1" x14ac:dyDescent="0.2">
      <c r="A1732" t="s">
        <v>1878</v>
      </c>
    </row>
    <row r="1733" spans="1:1" x14ac:dyDescent="0.2">
      <c r="A1733" t="s">
        <v>1879</v>
      </c>
    </row>
    <row r="1734" spans="1:1" x14ac:dyDescent="0.2">
      <c r="A1734" t="s">
        <v>1880</v>
      </c>
    </row>
    <row r="1735" spans="1:1" x14ac:dyDescent="0.2">
      <c r="A1735" t="s">
        <v>1881</v>
      </c>
    </row>
    <row r="1736" spans="1:1" x14ac:dyDescent="0.2">
      <c r="A1736" t="s">
        <v>1882</v>
      </c>
    </row>
    <row r="1737" spans="1:1" x14ac:dyDescent="0.2">
      <c r="A1737" t="s">
        <v>1883</v>
      </c>
    </row>
    <row r="1738" spans="1:1" x14ac:dyDescent="0.2">
      <c r="A1738" t="s">
        <v>1884</v>
      </c>
    </row>
    <row r="1739" spans="1:1" x14ac:dyDescent="0.2">
      <c r="A1739" t="s">
        <v>1885</v>
      </c>
    </row>
    <row r="1740" spans="1:1" x14ac:dyDescent="0.2">
      <c r="A1740" t="s">
        <v>1886</v>
      </c>
    </row>
    <row r="1741" spans="1:1" x14ac:dyDescent="0.2">
      <c r="A1741" t="s">
        <v>1887</v>
      </c>
    </row>
    <row r="1742" spans="1:1" x14ac:dyDescent="0.2">
      <c r="A1742" t="s">
        <v>1888</v>
      </c>
    </row>
    <row r="1743" spans="1:1" x14ac:dyDescent="0.2">
      <c r="A1743" t="s">
        <v>1889</v>
      </c>
    </row>
    <row r="1744" spans="1:1" x14ac:dyDescent="0.2">
      <c r="A1744" t="s">
        <v>1890</v>
      </c>
    </row>
    <row r="1745" spans="1:1" x14ac:dyDescent="0.2">
      <c r="A1745" t="s">
        <v>1891</v>
      </c>
    </row>
    <row r="1746" spans="1:1" x14ac:dyDescent="0.2">
      <c r="A1746" t="s">
        <v>1892</v>
      </c>
    </row>
    <row r="1747" spans="1:1" x14ac:dyDescent="0.2">
      <c r="A1747" t="s">
        <v>1893</v>
      </c>
    </row>
    <row r="1748" spans="1:1" x14ac:dyDescent="0.2">
      <c r="A1748" t="s">
        <v>1894</v>
      </c>
    </row>
    <row r="1749" spans="1:1" x14ac:dyDescent="0.2">
      <c r="A1749" t="s">
        <v>1895</v>
      </c>
    </row>
    <row r="1750" spans="1:1" x14ac:dyDescent="0.2">
      <c r="A1750" t="s">
        <v>1896</v>
      </c>
    </row>
    <row r="1751" spans="1:1" x14ac:dyDescent="0.2">
      <c r="A1751" t="s">
        <v>1897</v>
      </c>
    </row>
    <row r="1752" spans="1:1" x14ac:dyDescent="0.2">
      <c r="A1752" t="s">
        <v>1898</v>
      </c>
    </row>
    <row r="1753" spans="1:1" x14ac:dyDescent="0.2">
      <c r="A1753" t="s">
        <v>1899</v>
      </c>
    </row>
    <row r="1754" spans="1:1" x14ac:dyDescent="0.2">
      <c r="A1754" t="s">
        <v>1900</v>
      </c>
    </row>
    <row r="1755" spans="1:1" x14ac:dyDescent="0.2">
      <c r="A1755" t="s">
        <v>1901</v>
      </c>
    </row>
    <row r="1756" spans="1:1" x14ac:dyDescent="0.2">
      <c r="A1756" t="s">
        <v>1902</v>
      </c>
    </row>
    <row r="1757" spans="1:1" x14ac:dyDescent="0.2">
      <c r="A1757" t="s">
        <v>1903</v>
      </c>
    </row>
    <row r="1758" spans="1:1" x14ac:dyDescent="0.2">
      <c r="A1758" t="s">
        <v>1904</v>
      </c>
    </row>
    <row r="1759" spans="1:1" x14ac:dyDescent="0.2">
      <c r="A1759" t="s">
        <v>1905</v>
      </c>
    </row>
    <row r="1760" spans="1:1" x14ac:dyDescent="0.2">
      <c r="A1760" t="s">
        <v>1906</v>
      </c>
    </row>
    <row r="1761" spans="1:1" x14ac:dyDescent="0.2">
      <c r="A1761" t="s">
        <v>1907</v>
      </c>
    </row>
    <row r="1762" spans="1:1" x14ac:dyDescent="0.2">
      <c r="A1762" t="s">
        <v>1908</v>
      </c>
    </row>
    <row r="1763" spans="1:1" x14ac:dyDescent="0.2">
      <c r="A1763" t="s">
        <v>1909</v>
      </c>
    </row>
    <row r="1764" spans="1:1" x14ac:dyDescent="0.2">
      <c r="A1764" t="s">
        <v>1910</v>
      </c>
    </row>
    <row r="1765" spans="1:1" x14ac:dyDescent="0.2">
      <c r="A1765" t="s">
        <v>1911</v>
      </c>
    </row>
    <row r="1766" spans="1:1" x14ac:dyDescent="0.2">
      <c r="A1766" t="s">
        <v>1912</v>
      </c>
    </row>
    <row r="1767" spans="1:1" x14ac:dyDescent="0.2">
      <c r="A1767" t="s">
        <v>1913</v>
      </c>
    </row>
    <row r="1768" spans="1:1" x14ac:dyDescent="0.2">
      <c r="A1768" t="s">
        <v>1914</v>
      </c>
    </row>
    <row r="1769" spans="1:1" x14ac:dyDescent="0.2">
      <c r="A1769" t="s">
        <v>1915</v>
      </c>
    </row>
    <row r="1770" spans="1:1" x14ac:dyDescent="0.2">
      <c r="A1770" t="s">
        <v>1916</v>
      </c>
    </row>
    <row r="1771" spans="1:1" x14ac:dyDescent="0.2">
      <c r="A1771" t="s">
        <v>1917</v>
      </c>
    </row>
    <row r="1772" spans="1:1" x14ac:dyDescent="0.2">
      <c r="A1772" t="s">
        <v>1918</v>
      </c>
    </row>
    <row r="1773" spans="1:1" x14ac:dyDescent="0.2">
      <c r="A1773" t="s">
        <v>1919</v>
      </c>
    </row>
    <row r="1774" spans="1:1" x14ac:dyDescent="0.2">
      <c r="A1774" t="s">
        <v>1920</v>
      </c>
    </row>
    <row r="1775" spans="1:1" x14ac:dyDescent="0.2">
      <c r="A1775" t="s">
        <v>1921</v>
      </c>
    </row>
    <row r="1776" spans="1:1" x14ac:dyDescent="0.2">
      <c r="A1776" t="s">
        <v>1922</v>
      </c>
    </row>
    <row r="1777" spans="1:1" x14ac:dyDescent="0.2">
      <c r="A1777" t="s">
        <v>1923</v>
      </c>
    </row>
    <row r="1778" spans="1:1" x14ac:dyDescent="0.2">
      <c r="A1778" t="s">
        <v>1924</v>
      </c>
    </row>
    <row r="1779" spans="1:1" x14ac:dyDescent="0.2">
      <c r="A1779" t="s">
        <v>1925</v>
      </c>
    </row>
    <row r="1780" spans="1:1" x14ac:dyDescent="0.2">
      <c r="A1780" t="s">
        <v>1926</v>
      </c>
    </row>
    <row r="1781" spans="1:1" x14ac:dyDescent="0.2">
      <c r="A1781" t="s">
        <v>1927</v>
      </c>
    </row>
    <row r="1782" spans="1:1" x14ac:dyDescent="0.2">
      <c r="A1782" t="s">
        <v>1928</v>
      </c>
    </row>
    <row r="1783" spans="1:1" x14ac:dyDescent="0.2">
      <c r="A1783" t="s">
        <v>1929</v>
      </c>
    </row>
    <row r="1784" spans="1:1" x14ac:dyDescent="0.2">
      <c r="A1784" t="s">
        <v>1930</v>
      </c>
    </row>
    <row r="1785" spans="1:1" x14ac:dyDescent="0.2">
      <c r="A1785" t="s">
        <v>1931</v>
      </c>
    </row>
    <row r="1786" spans="1:1" x14ac:dyDescent="0.2">
      <c r="A1786" t="s">
        <v>1932</v>
      </c>
    </row>
    <row r="1787" spans="1:1" x14ac:dyDescent="0.2">
      <c r="A1787" t="s">
        <v>1933</v>
      </c>
    </row>
    <row r="1788" spans="1:1" x14ac:dyDescent="0.2">
      <c r="A1788" t="s">
        <v>1934</v>
      </c>
    </row>
    <row r="1789" spans="1:1" x14ac:dyDescent="0.2">
      <c r="A1789" t="s">
        <v>1935</v>
      </c>
    </row>
    <row r="1790" spans="1:1" x14ac:dyDescent="0.2">
      <c r="A1790" t="s">
        <v>1936</v>
      </c>
    </row>
    <row r="1791" spans="1:1" x14ac:dyDescent="0.2">
      <c r="A1791" t="s">
        <v>1937</v>
      </c>
    </row>
    <row r="1792" spans="1:1" x14ac:dyDescent="0.2">
      <c r="A1792" t="s">
        <v>1938</v>
      </c>
    </row>
    <row r="1793" spans="1:1" x14ac:dyDescent="0.2">
      <c r="A1793" t="s">
        <v>1939</v>
      </c>
    </row>
    <row r="1794" spans="1:1" x14ac:dyDescent="0.2">
      <c r="A1794" t="s">
        <v>1940</v>
      </c>
    </row>
    <row r="1795" spans="1:1" x14ac:dyDescent="0.2">
      <c r="A1795" t="s">
        <v>1941</v>
      </c>
    </row>
    <row r="1796" spans="1:1" x14ac:dyDescent="0.2">
      <c r="A1796" t="s">
        <v>1942</v>
      </c>
    </row>
    <row r="1797" spans="1:1" x14ac:dyDescent="0.2">
      <c r="A1797" t="s">
        <v>1943</v>
      </c>
    </row>
    <row r="1798" spans="1:1" x14ac:dyDescent="0.2">
      <c r="A1798" t="s">
        <v>1944</v>
      </c>
    </row>
    <row r="1799" spans="1:1" x14ac:dyDescent="0.2">
      <c r="A1799" t="s">
        <v>1945</v>
      </c>
    </row>
    <row r="1800" spans="1:1" x14ac:dyDescent="0.2">
      <c r="A1800" t="s">
        <v>1946</v>
      </c>
    </row>
    <row r="1801" spans="1:1" x14ac:dyDescent="0.2">
      <c r="A1801" t="s">
        <v>1947</v>
      </c>
    </row>
    <row r="1802" spans="1:1" x14ac:dyDescent="0.2">
      <c r="A1802" t="s">
        <v>1948</v>
      </c>
    </row>
    <row r="1803" spans="1:1" x14ac:dyDescent="0.2">
      <c r="A1803" t="s">
        <v>1949</v>
      </c>
    </row>
    <row r="1804" spans="1:1" x14ac:dyDescent="0.2">
      <c r="A1804" t="s">
        <v>1950</v>
      </c>
    </row>
    <row r="1805" spans="1:1" x14ac:dyDescent="0.2">
      <c r="A1805" t="s">
        <v>1951</v>
      </c>
    </row>
    <row r="1806" spans="1:1" x14ac:dyDescent="0.2">
      <c r="A1806" t="s">
        <v>1952</v>
      </c>
    </row>
    <row r="1807" spans="1:1" x14ac:dyDescent="0.2">
      <c r="A1807" t="s">
        <v>1953</v>
      </c>
    </row>
    <row r="1808" spans="1:1" x14ac:dyDescent="0.2">
      <c r="A1808" t="s">
        <v>1954</v>
      </c>
    </row>
    <row r="1809" spans="1:1" x14ac:dyDescent="0.2">
      <c r="A1809" t="s">
        <v>1955</v>
      </c>
    </row>
    <row r="1810" spans="1:1" x14ac:dyDescent="0.2">
      <c r="A1810" t="s">
        <v>1956</v>
      </c>
    </row>
    <row r="1811" spans="1:1" x14ac:dyDescent="0.2">
      <c r="A1811" t="s">
        <v>1957</v>
      </c>
    </row>
    <row r="1812" spans="1:1" x14ac:dyDescent="0.2">
      <c r="A1812" t="s">
        <v>1958</v>
      </c>
    </row>
    <row r="1813" spans="1:1" x14ac:dyDescent="0.2">
      <c r="A1813" t="s">
        <v>1959</v>
      </c>
    </row>
    <row r="1814" spans="1:1" x14ac:dyDescent="0.2">
      <c r="A1814" t="s">
        <v>1960</v>
      </c>
    </row>
    <row r="1815" spans="1:1" x14ac:dyDescent="0.2">
      <c r="A1815" t="s">
        <v>1961</v>
      </c>
    </row>
    <row r="1816" spans="1:1" x14ac:dyDescent="0.2">
      <c r="A1816" t="s">
        <v>1962</v>
      </c>
    </row>
    <row r="1817" spans="1:1" x14ac:dyDescent="0.2">
      <c r="A1817" t="s">
        <v>1963</v>
      </c>
    </row>
    <row r="1818" spans="1:1" x14ac:dyDescent="0.2">
      <c r="A1818" t="s">
        <v>1964</v>
      </c>
    </row>
    <row r="1819" spans="1:1" x14ac:dyDescent="0.2">
      <c r="A1819" t="s">
        <v>1965</v>
      </c>
    </row>
    <row r="1820" spans="1:1" x14ac:dyDescent="0.2">
      <c r="A1820" t="s">
        <v>1966</v>
      </c>
    </row>
    <row r="1821" spans="1:1" x14ac:dyDescent="0.2">
      <c r="A1821" t="s">
        <v>1967</v>
      </c>
    </row>
    <row r="1822" spans="1:1" x14ac:dyDescent="0.2">
      <c r="A1822" t="s">
        <v>1968</v>
      </c>
    </row>
    <row r="1823" spans="1:1" x14ac:dyDescent="0.2">
      <c r="A1823" t="s">
        <v>1969</v>
      </c>
    </row>
    <row r="1824" spans="1:1" x14ac:dyDescent="0.2">
      <c r="A1824" t="s">
        <v>1970</v>
      </c>
    </row>
    <row r="1825" spans="1:1" x14ac:dyDescent="0.2">
      <c r="A1825" t="s">
        <v>1971</v>
      </c>
    </row>
    <row r="1826" spans="1:1" x14ac:dyDescent="0.2">
      <c r="A1826" t="s">
        <v>1972</v>
      </c>
    </row>
    <row r="1827" spans="1:1" x14ac:dyDescent="0.2">
      <c r="A1827" t="s">
        <v>1973</v>
      </c>
    </row>
    <row r="1828" spans="1:1" x14ac:dyDescent="0.2">
      <c r="A1828" t="s">
        <v>1974</v>
      </c>
    </row>
    <row r="1829" spans="1:1" x14ac:dyDescent="0.2">
      <c r="A1829" t="s">
        <v>1975</v>
      </c>
    </row>
    <row r="1830" spans="1:1" x14ac:dyDescent="0.2">
      <c r="A1830" t="s">
        <v>1976</v>
      </c>
    </row>
    <row r="1831" spans="1:1" x14ac:dyDescent="0.2">
      <c r="A1831" t="s">
        <v>1977</v>
      </c>
    </row>
    <row r="1832" spans="1:1" x14ac:dyDescent="0.2">
      <c r="A1832" t="s">
        <v>1978</v>
      </c>
    </row>
    <row r="1833" spans="1:1" x14ac:dyDescent="0.2">
      <c r="A1833" t="s">
        <v>1979</v>
      </c>
    </row>
    <row r="1834" spans="1:1" x14ac:dyDescent="0.2">
      <c r="A1834" t="s">
        <v>1980</v>
      </c>
    </row>
    <row r="1835" spans="1:1" x14ac:dyDescent="0.2">
      <c r="A1835" t="s">
        <v>1981</v>
      </c>
    </row>
    <row r="1836" spans="1:1" x14ac:dyDescent="0.2">
      <c r="A1836" t="s">
        <v>1982</v>
      </c>
    </row>
    <row r="1837" spans="1:1" x14ac:dyDescent="0.2">
      <c r="A1837" t="s">
        <v>1983</v>
      </c>
    </row>
    <row r="1838" spans="1:1" x14ac:dyDescent="0.2">
      <c r="A1838" t="s">
        <v>1984</v>
      </c>
    </row>
    <row r="1839" spans="1:1" x14ac:dyDescent="0.2">
      <c r="A1839" t="s">
        <v>1985</v>
      </c>
    </row>
    <row r="1840" spans="1:1" x14ac:dyDescent="0.2">
      <c r="A1840" t="s">
        <v>1986</v>
      </c>
    </row>
    <row r="1841" spans="1:1" x14ac:dyDescent="0.2">
      <c r="A1841" t="s">
        <v>1987</v>
      </c>
    </row>
    <row r="1842" spans="1:1" x14ac:dyDescent="0.2">
      <c r="A1842" t="s">
        <v>1988</v>
      </c>
    </row>
    <row r="1843" spans="1:1" x14ac:dyDescent="0.2">
      <c r="A1843" t="s">
        <v>1989</v>
      </c>
    </row>
    <row r="1844" spans="1:1" x14ac:dyDescent="0.2">
      <c r="A1844" t="s">
        <v>1990</v>
      </c>
    </row>
    <row r="1845" spans="1:1" x14ac:dyDescent="0.2">
      <c r="A1845" t="s">
        <v>1991</v>
      </c>
    </row>
    <row r="1846" spans="1:1" x14ac:dyDescent="0.2">
      <c r="A1846" t="s">
        <v>1992</v>
      </c>
    </row>
    <row r="1847" spans="1:1" x14ac:dyDescent="0.2">
      <c r="A1847" t="s">
        <v>1993</v>
      </c>
    </row>
    <row r="1848" spans="1:1" x14ac:dyDescent="0.2">
      <c r="A1848" t="s">
        <v>1994</v>
      </c>
    </row>
    <row r="1849" spans="1:1" x14ac:dyDescent="0.2">
      <c r="A1849" t="s">
        <v>1995</v>
      </c>
    </row>
    <row r="1850" spans="1:1" x14ac:dyDescent="0.2">
      <c r="A1850" t="s">
        <v>1996</v>
      </c>
    </row>
    <row r="1851" spans="1:1" x14ac:dyDescent="0.2">
      <c r="A1851" t="s">
        <v>1997</v>
      </c>
    </row>
    <row r="1852" spans="1:1" x14ac:dyDescent="0.2">
      <c r="A1852" t="s">
        <v>1998</v>
      </c>
    </row>
    <row r="1853" spans="1:1" x14ac:dyDescent="0.2">
      <c r="A1853" t="s">
        <v>1999</v>
      </c>
    </row>
    <row r="1854" spans="1:1" x14ac:dyDescent="0.2">
      <c r="A1854" t="s">
        <v>2000</v>
      </c>
    </row>
    <row r="1855" spans="1:1" x14ac:dyDescent="0.2">
      <c r="A1855" t="s">
        <v>2001</v>
      </c>
    </row>
    <row r="1856" spans="1:1" x14ac:dyDescent="0.2">
      <c r="A1856" t="s">
        <v>2002</v>
      </c>
    </row>
    <row r="1857" spans="1:1" x14ac:dyDescent="0.2">
      <c r="A1857" t="s">
        <v>2003</v>
      </c>
    </row>
    <row r="1858" spans="1:1" x14ac:dyDescent="0.2">
      <c r="A1858" t="s">
        <v>2004</v>
      </c>
    </row>
    <row r="1859" spans="1:1" x14ac:dyDescent="0.2">
      <c r="A1859" t="s">
        <v>2005</v>
      </c>
    </row>
    <row r="1860" spans="1:1" x14ac:dyDescent="0.2">
      <c r="A1860" t="s">
        <v>2006</v>
      </c>
    </row>
    <row r="1861" spans="1:1" x14ac:dyDescent="0.2">
      <c r="A1861" t="s">
        <v>2007</v>
      </c>
    </row>
    <row r="1862" spans="1:1" x14ac:dyDescent="0.2">
      <c r="A1862" t="s">
        <v>2008</v>
      </c>
    </row>
    <row r="1863" spans="1:1" x14ac:dyDescent="0.2">
      <c r="A1863" t="s">
        <v>2009</v>
      </c>
    </row>
    <row r="1864" spans="1:1" x14ac:dyDescent="0.2">
      <c r="A1864" t="s">
        <v>2010</v>
      </c>
    </row>
    <row r="1865" spans="1:1" x14ac:dyDescent="0.2">
      <c r="A1865" t="s">
        <v>2011</v>
      </c>
    </row>
    <row r="1866" spans="1:1" x14ac:dyDescent="0.2">
      <c r="A1866" t="s">
        <v>2012</v>
      </c>
    </row>
    <row r="1867" spans="1:1" x14ac:dyDescent="0.2">
      <c r="A1867" t="s">
        <v>2013</v>
      </c>
    </row>
    <row r="1868" spans="1:1" x14ac:dyDescent="0.2">
      <c r="A1868" t="s">
        <v>2014</v>
      </c>
    </row>
    <row r="1869" spans="1:1" x14ac:dyDescent="0.2">
      <c r="A1869" t="s">
        <v>2015</v>
      </c>
    </row>
    <row r="1870" spans="1:1" x14ac:dyDescent="0.2">
      <c r="A1870" t="s">
        <v>2016</v>
      </c>
    </row>
    <row r="1871" spans="1:1" x14ac:dyDescent="0.2">
      <c r="A1871" t="s">
        <v>2017</v>
      </c>
    </row>
    <row r="1872" spans="1:1" x14ac:dyDescent="0.2">
      <c r="A1872" t="s">
        <v>2018</v>
      </c>
    </row>
    <row r="1873" spans="1:1" x14ac:dyDescent="0.2">
      <c r="A1873" t="s">
        <v>2019</v>
      </c>
    </row>
    <row r="1874" spans="1:1" x14ac:dyDescent="0.2">
      <c r="A1874" t="s">
        <v>2020</v>
      </c>
    </row>
    <row r="1875" spans="1:1" x14ac:dyDescent="0.2">
      <c r="A1875" t="s">
        <v>2021</v>
      </c>
    </row>
    <row r="1876" spans="1:1" x14ac:dyDescent="0.2">
      <c r="A1876" t="s">
        <v>2022</v>
      </c>
    </row>
    <row r="1877" spans="1:1" x14ac:dyDescent="0.2">
      <c r="A1877" t="s">
        <v>2023</v>
      </c>
    </row>
    <row r="1878" spans="1:1" x14ac:dyDescent="0.2">
      <c r="A1878" t="s">
        <v>2024</v>
      </c>
    </row>
    <row r="1879" spans="1:1" x14ac:dyDescent="0.2">
      <c r="A1879" t="s">
        <v>2025</v>
      </c>
    </row>
    <row r="1880" spans="1:1" x14ac:dyDescent="0.2">
      <c r="A1880" t="s">
        <v>2026</v>
      </c>
    </row>
    <row r="1881" spans="1:1" x14ac:dyDescent="0.2">
      <c r="A1881" t="s">
        <v>2027</v>
      </c>
    </row>
    <row r="1882" spans="1:1" x14ac:dyDescent="0.2">
      <c r="A1882" t="s">
        <v>2028</v>
      </c>
    </row>
    <row r="1883" spans="1:1" x14ac:dyDescent="0.2">
      <c r="A1883" t="s">
        <v>2029</v>
      </c>
    </row>
    <row r="1884" spans="1:1" x14ac:dyDescent="0.2">
      <c r="A1884" t="s">
        <v>2030</v>
      </c>
    </row>
    <row r="1885" spans="1:1" x14ac:dyDescent="0.2">
      <c r="A1885" t="s">
        <v>2031</v>
      </c>
    </row>
    <row r="1886" spans="1:1" x14ac:dyDescent="0.2">
      <c r="A1886" t="s">
        <v>2032</v>
      </c>
    </row>
    <row r="1887" spans="1:1" x14ac:dyDescent="0.2">
      <c r="A1887" t="s">
        <v>2033</v>
      </c>
    </row>
    <row r="1888" spans="1:1" x14ac:dyDescent="0.2">
      <c r="A1888" t="s">
        <v>2034</v>
      </c>
    </row>
    <row r="1889" spans="1:1" x14ac:dyDescent="0.2">
      <c r="A1889" t="s">
        <v>2035</v>
      </c>
    </row>
    <row r="1890" spans="1:1" x14ac:dyDescent="0.2">
      <c r="A1890" t="s">
        <v>2036</v>
      </c>
    </row>
    <row r="1891" spans="1:1" x14ac:dyDescent="0.2">
      <c r="A1891" t="s">
        <v>2037</v>
      </c>
    </row>
    <row r="1892" spans="1:1" x14ac:dyDescent="0.2">
      <c r="A1892" t="s">
        <v>2038</v>
      </c>
    </row>
    <row r="1893" spans="1:1" x14ac:dyDescent="0.2">
      <c r="A1893" t="s">
        <v>2039</v>
      </c>
    </row>
    <row r="1894" spans="1:1" x14ac:dyDescent="0.2">
      <c r="A1894" t="s">
        <v>2040</v>
      </c>
    </row>
    <row r="1895" spans="1:1" x14ac:dyDescent="0.2">
      <c r="A1895" t="s">
        <v>2041</v>
      </c>
    </row>
    <row r="1896" spans="1:1" x14ac:dyDescent="0.2">
      <c r="A1896" t="s">
        <v>2042</v>
      </c>
    </row>
    <row r="1897" spans="1:1" x14ac:dyDescent="0.2">
      <c r="A1897" t="s">
        <v>2043</v>
      </c>
    </row>
    <row r="1898" spans="1:1" x14ac:dyDescent="0.2">
      <c r="A1898" t="s">
        <v>2044</v>
      </c>
    </row>
    <row r="1899" spans="1:1" x14ac:dyDescent="0.2">
      <c r="A1899" t="s">
        <v>2045</v>
      </c>
    </row>
    <row r="1900" spans="1:1" x14ac:dyDescent="0.2">
      <c r="A1900" t="s">
        <v>2046</v>
      </c>
    </row>
    <row r="1901" spans="1:1" x14ac:dyDescent="0.2">
      <c r="A1901" t="s">
        <v>2047</v>
      </c>
    </row>
    <row r="1902" spans="1:1" x14ac:dyDescent="0.2">
      <c r="A1902" t="s">
        <v>2048</v>
      </c>
    </row>
    <row r="1903" spans="1:1" x14ac:dyDescent="0.2">
      <c r="A1903" t="s">
        <v>2049</v>
      </c>
    </row>
    <row r="1904" spans="1:1" x14ac:dyDescent="0.2">
      <c r="A1904" t="s">
        <v>2050</v>
      </c>
    </row>
    <row r="1905" spans="1:1" x14ac:dyDescent="0.2">
      <c r="A1905" t="s">
        <v>2051</v>
      </c>
    </row>
    <row r="1906" spans="1:1" x14ac:dyDescent="0.2">
      <c r="A1906" t="s">
        <v>2052</v>
      </c>
    </row>
    <row r="1907" spans="1:1" x14ac:dyDescent="0.2">
      <c r="A1907" t="s">
        <v>2053</v>
      </c>
    </row>
    <row r="1908" spans="1:1" x14ac:dyDescent="0.2">
      <c r="A1908" t="s">
        <v>2054</v>
      </c>
    </row>
    <row r="1909" spans="1:1" x14ac:dyDescent="0.2">
      <c r="A1909" t="s">
        <v>2055</v>
      </c>
    </row>
    <row r="1910" spans="1:1" x14ac:dyDescent="0.2">
      <c r="A1910" t="s">
        <v>2056</v>
      </c>
    </row>
    <row r="1911" spans="1:1" x14ac:dyDescent="0.2">
      <c r="A1911" t="s">
        <v>2057</v>
      </c>
    </row>
    <row r="1912" spans="1:1" x14ac:dyDescent="0.2">
      <c r="A1912" t="s">
        <v>2058</v>
      </c>
    </row>
    <row r="1913" spans="1:1" x14ac:dyDescent="0.2">
      <c r="A1913" t="s">
        <v>2059</v>
      </c>
    </row>
    <row r="1914" spans="1:1" x14ac:dyDescent="0.2">
      <c r="A1914" t="s">
        <v>2060</v>
      </c>
    </row>
    <row r="1915" spans="1:1" x14ac:dyDescent="0.2">
      <c r="A1915" t="s">
        <v>2061</v>
      </c>
    </row>
    <row r="1916" spans="1:1" x14ac:dyDescent="0.2">
      <c r="A1916" t="s">
        <v>2062</v>
      </c>
    </row>
    <row r="1917" spans="1:1" x14ac:dyDescent="0.2">
      <c r="A1917" t="s">
        <v>2063</v>
      </c>
    </row>
    <row r="1918" spans="1:1" x14ac:dyDescent="0.2">
      <c r="A1918" t="s">
        <v>2064</v>
      </c>
    </row>
    <row r="1919" spans="1:1" x14ac:dyDescent="0.2">
      <c r="A1919" t="s">
        <v>2065</v>
      </c>
    </row>
    <row r="1920" spans="1:1" x14ac:dyDescent="0.2">
      <c r="A1920" t="s">
        <v>2066</v>
      </c>
    </row>
    <row r="1921" spans="1:1" x14ac:dyDescent="0.2">
      <c r="A1921" t="s">
        <v>2067</v>
      </c>
    </row>
    <row r="1922" spans="1:1" x14ac:dyDescent="0.2">
      <c r="A1922" t="s">
        <v>2068</v>
      </c>
    </row>
    <row r="1923" spans="1:1" x14ac:dyDescent="0.2">
      <c r="A1923" t="s">
        <v>2069</v>
      </c>
    </row>
    <row r="1924" spans="1:1" x14ac:dyDescent="0.2">
      <c r="A1924" t="s">
        <v>2070</v>
      </c>
    </row>
    <row r="1925" spans="1:1" x14ac:dyDescent="0.2">
      <c r="A1925" t="s">
        <v>2071</v>
      </c>
    </row>
    <row r="1926" spans="1:1" x14ac:dyDescent="0.2">
      <c r="A1926" t="s">
        <v>2072</v>
      </c>
    </row>
    <row r="1927" spans="1:1" x14ac:dyDescent="0.2">
      <c r="A1927" t="s">
        <v>2073</v>
      </c>
    </row>
    <row r="1928" spans="1:1" x14ac:dyDescent="0.2">
      <c r="A1928" t="s">
        <v>2074</v>
      </c>
    </row>
    <row r="1929" spans="1:1" x14ac:dyDescent="0.2">
      <c r="A1929" t="s">
        <v>2075</v>
      </c>
    </row>
    <row r="1930" spans="1:1" x14ac:dyDescent="0.2">
      <c r="A1930" t="s">
        <v>2076</v>
      </c>
    </row>
    <row r="1931" spans="1:1" x14ac:dyDescent="0.2">
      <c r="A1931" t="s">
        <v>2077</v>
      </c>
    </row>
    <row r="1932" spans="1:1" x14ac:dyDescent="0.2">
      <c r="A1932" t="s">
        <v>2078</v>
      </c>
    </row>
    <row r="1933" spans="1:1" x14ac:dyDescent="0.2">
      <c r="A1933" t="s">
        <v>2079</v>
      </c>
    </row>
    <row r="1934" spans="1:1" x14ac:dyDescent="0.2">
      <c r="A1934" t="s">
        <v>2080</v>
      </c>
    </row>
    <row r="1935" spans="1:1" x14ac:dyDescent="0.2">
      <c r="A1935" t="s">
        <v>2081</v>
      </c>
    </row>
    <row r="1936" spans="1:1" x14ac:dyDescent="0.2">
      <c r="A1936" t="s">
        <v>2082</v>
      </c>
    </row>
    <row r="1937" spans="1:1" x14ac:dyDescent="0.2">
      <c r="A1937" t="s">
        <v>2083</v>
      </c>
    </row>
    <row r="1938" spans="1:1" x14ac:dyDescent="0.2">
      <c r="A1938" t="s">
        <v>2084</v>
      </c>
    </row>
    <row r="1939" spans="1:1" x14ac:dyDescent="0.2">
      <c r="A1939" t="s">
        <v>2085</v>
      </c>
    </row>
    <row r="1940" spans="1:1" x14ac:dyDescent="0.2">
      <c r="A1940" t="s">
        <v>2086</v>
      </c>
    </row>
    <row r="1941" spans="1:1" x14ac:dyDescent="0.2">
      <c r="A1941" t="s">
        <v>2087</v>
      </c>
    </row>
    <row r="1942" spans="1:1" x14ac:dyDescent="0.2">
      <c r="A1942" t="s">
        <v>2088</v>
      </c>
    </row>
    <row r="1943" spans="1:1" x14ac:dyDescent="0.2">
      <c r="A1943" t="s">
        <v>2089</v>
      </c>
    </row>
    <row r="1944" spans="1:1" x14ac:dyDescent="0.2">
      <c r="A1944" t="s">
        <v>2090</v>
      </c>
    </row>
    <row r="1945" spans="1:1" x14ac:dyDescent="0.2">
      <c r="A1945" t="s">
        <v>2091</v>
      </c>
    </row>
    <row r="1946" spans="1:1" x14ac:dyDescent="0.2">
      <c r="A1946" t="s">
        <v>2092</v>
      </c>
    </row>
    <row r="1947" spans="1:1" x14ac:dyDescent="0.2">
      <c r="A1947" t="s">
        <v>2093</v>
      </c>
    </row>
    <row r="1948" spans="1:1" x14ac:dyDescent="0.2">
      <c r="A1948" t="s">
        <v>2094</v>
      </c>
    </row>
    <row r="1949" spans="1:1" x14ac:dyDescent="0.2">
      <c r="A1949" t="s">
        <v>2095</v>
      </c>
    </row>
    <row r="1950" spans="1:1" x14ac:dyDescent="0.2">
      <c r="A1950" t="s">
        <v>2096</v>
      </c>
    </row>
    <row r="1951" spans="1:1" x14ac:dyDescent="0.2">
      <c r="A1951" t="s">
        <v>2097</v>
      </c>
    </row>
    <row r="1952" spans="1:1" x14ac:dyDescent="0.2">
      <c r="A1952" t="s">
        <v>2098</v>
      </c>
    </row>
    <row r="1953" spans="1:1" x14ac:dyDescent="0.2">
      <c r="A1953" t="s">
        <v>2099</v>
      </c>
    </row>
    <row r="1954" spans="1:1" x14ac:dyDescent="0.2">
      <c r="A1954" t="s">
        <v>2100</v>
      </c>
    </row>
    <row r="1955" spans="1:1" x14ac:dyDescent="0.2">
      <c r="A1955" t="s">
        <v>2101</v>
      </c>
    </row>
    <row r="1956" spans="1:1" x14ac:dyDescent="0.2">
      <c r="A1956" t="s">
        <v>2102</v>
      </c>
    </row>
    <row r="1957" spans="1:1" x14ac:dyDescent="0.2">
      <c r="A1957" t="s">
        <v>2103</v>
      </c>
    </row>
    <row r="1958" spans="1:1" x14ac:dyDescent="0.2">
      <c r="A1958" t="s">
        <v>2104</v>
      </c>
    </row>
    <row r="1959" spans="1:1" x14ac:dyDescent="0.2">
      <c r="A1959" t="s">
        <v>2105</v>
      </c>
    </row>
    <row r="1960" spans="1:1" x14ac:dyDescent="0.2">
      <c r="A1960" t="s">
        <v>2106</v>
      </c>
    </row>
    <row r="1961" spans="1:1" x14ac:dyDescent="0.2">
      <c r="A1961" t="s">
        <v>2107</v>
      </c>
    </row>
    <row r="1962" spans="1:1" x14ac:dyDescent="0.2">
      <c r="A1962" t="s">
        <v>2108</v>
      </c>
    </row>
    <row r="1963" spans="1:1" x14ac:dyDescent="0.2">
      <c r="A1963" t="s">
        <v>2109</v>
      </c>
    </row>
    <row r="1964" spans="1:1" x14ac:dyDescent="0.2">
      <c r="A1964" t="s">
        <v>2110</v>
      </c>
    </row>
    <row r="1965" spans="1:1" x14ac:dyDescent="0.2">
      <c r="A1965" t="s">
        <v>2111</v>
      </c>
    </row>
    <row r="1966" spans="1:1" x14ac:dyDescent="0.2">
      <c r="A1966" t="s">
        <v>2112</v>
      </c>
    </row>
    <row r="1967" spans="1:1" x14ac:dyDescent="0.2">
      <c r="A1967" t="s">
        <v>2113</v>
      </c>
    </row>
    <row r="1968" spans="1:1" x14ac:dyDescent="0.2">
      <c r="A1968" t="s">
        <v>2114</v>
      </c>
    </row>
    <row r="1969" spans="1:1" x14ac:dyDescent="0.2">
      <c r="A1969" t="s">
        <v>2115</v>
      </c>
    </row>
    <row r="1970" spans="1:1" x14ac:dyDescent="0.2">
      <c r="A1970" t="s">
        <v>2116</v>
      </c>
    </row>
    <row r="1971" spans="1:1" x14ac:dyDescent="0.2">
      <c r="A1971" t="s">
        <v>2117</v>
      </c>
    </row>
    <row r="1972" spans="1:1" x14ac:dyDescent="0.2">
      <c r="A1972" t="s">
        <v>2118</v>
      </c>
    </row>
    <row r="1973" spans="1:1" x14ac:dyDescent="0.2">
      <c r="A1973" t="s">
        <v>2119</v>
      </c>
    </row>
    <row r="1974" spans="1:1" x14ac:dyDescent="0.2">
      <c r="A1974" t="s">
        <v>2120</v>
      </c>
    </row>
    <row r="1975" spans="1:1" x14ac:dyDescent="0.2">
      <c r="A1975" t="s">
        <v>2121</v>
      </c>
    </row>
    <row r="1976" spans="1:1" x14ac:dyDescent="0.2">
      <c r="A1976" t="s">
        <v>2122</v>
      </c>
    </row>
    <row r="1977" spans="1:1" x14ac:dyDescent="0.2">
      <c r="A1977" t="s">
        <v>2123</v>
      </c>
    </row>
    <row r="1978" spans="1:1" x14ac:dyDescent="0.2">
      <c r="A1978" t="s">
        <v>2124</v>
      </c>
    </row>
    <row r="1979" spans="1:1" x14ac:dyDescent="0.2">
      <c r="A1979" t="s">
        <v>2125</v>
      </c>
    </row>
    <row r="1980" spans="1:1" x14ac:dyDescent="0.2">
      <c r="A1980" t="s">
        <v>2126</v>
      </c>
    </row>
    <row r="1981" spans="1:1" x14ac:dyDescent="0.2">
      <c r="A1981" t="s">
        <v>2127</v>
      </c>
    </row>
    <row r="1982" spans="1:1" x14ac:dyDescent="0.2">
      <c r="A1982" t="s">
        <v>2128</v>
      </c>
    </row>
    <row r="1983" spans="1:1" x14ac:dyDescent="0.2">
      <c r="A1983" t="s">
        <v>2129</v>
      </c>
    </row>
    <row r="1984" spans="1:1" x14ac:dyDescent="0.2">
      <c r="A1984" t="s">
        <v>2130</v>
      </c>
    </row>
    <row r="1985" spans="1:1" x14ac:dyDescent="0.2">
      <c r="A1985" t="s">
        <v>2131</v>
      </c>
    </row>
    <row r="1986" spans="1:1" x14ac:dyDescent="0.2">
      <c r="A1986" t="s">
        <v>2132</v>
      </c>
    </row>
    <row r="1987" spans="1:1" x14ac:dyDescent="0.2">
      <c r="A1987" t="s">
        <v>2133</v>
      </c>
    </row>
    <row r="1988" spans="1:1" x14ac:dyDescent="0.2">
      <c r="A1988" t="s">
        <v>2134</v>
      </c>
    </row>
    <row r="1989" spans="1:1" x14ac:dyDescent="0.2">
      <c r="A1989" t="s">
        <v>2135</v>
      </c>
    </row>
    <row r="1990" spans="1:1" x14ac:dyDescent="0.2">
      <c r="A1990" t="s">
        <v>2136</v>
      </c>
    </row>
    <row r="1991" spans="1:1" x14ac:dyDescent="0.2">
      <c r="A1991" t="s">
        <v>2137</v>
      </c>
    </row>
    <row r="1992" spans="1:1" x14ac:dyDescent="0.2">
      <c r="A1992" t="s">
        <v>2138</v>
      </c>
    </row>
    <row r="1993" spans="1:1" x14ac:dyDescent="0.2">
      <c r="A1993" t="s">
        <v>2139</v>
      </c>
    </row>
    <row r="1994" spans="1:1" x14ac:dyDescent="0.2">
      <c r="A1994" t="s">
        <v>2140</v>
      </c>
    </row>
    <row r="1995" spans="1:1" x14ac:dyDescent="0.2">
      <c r="A1995" t="s">
        <v>2141</v>
      </c>
    </row>
    <row r="1996" spans="1:1" x14ac:dyDescent="0.2">
      <c r="A1996" t="s">
        <v>2142</v>
      </c>
    </row>
    <row r="1997" spans="1:1" x14ac:dyDescent="0.2">
      <c r="A1997" t="s">
        <v>2143</v>
      </c>
    </row>
    <row r="1998" spans="1:1" x14ac:dyDescent="0.2">
      <c r="A1998" t="s">
        <v>2144</v>
      </c>
    </row>
    <row r="1999" spans="1:1" x14ac:dyDescent="0.2">
      <c r="A1999" t="s">
        <v>2145</v>
      </c>
    </row>
    <row r="2000" spans="1:1" x14ac:dyDescent="0.2">
      <c r="A2000" t="s">
        <v>2146</v>
      </c>
    </row>
    <row r="2001" spans="1:1" x14ac:dyDescent="0.2">
      <c r="A2001" t="s">
        <v>2147</v>
      </c>
    </row>
    <row r="2002" spans="1:1" x14ac:dyDescent="0.2">
      <c r="A2002" t="s">
        <v>2148</v>
      </c>
    </row>
    <row r="2003" spans="1:1" x14ac:dyDescent="0.2">
      <c r="A2003" t="s">
        <v>2149</v>
      </c>
    </row>
    <row r="2004" spans="1:1" x14ac:dyDescent="0.2">
      <c r="A2004" t="s">
        <v>2150</v>
      </c>
    </row>
    <row r="2005" spans="1:1" x14ac:dyDescent="0.2">
      <c r="A2005" t="s">
        <v>2151</v>
      </c>
    </row>
    <row r="2006" spans="1:1" x14ac:dyDescent="0.2">
      <c r="A2006" t="s">
        <v>2152</v>
      </c>
    </row>
    <row r="2007" spans="1:1" x14ac:dyDescent="0.2">
      <c r="A2007" t="s">
        <v>2153</v>
      </c>
    </row>
    <row r="2008" spans="1:1" x14ac:dyDescent="0.2">
      <c r="A2008" t="s">
        <v>2154</v>
      </c>
    </row>
    <row r="2009" spans="1:1" x14ac:dyDescent="0.2">
      <c r="A2009" t="s">
        <v>2155</v>
      </c>
    </row>
    <row r="2010" spans="1:1" x14ac:dyDescent="0.2">
      <c r="A2010" t="s">
        <v>2156</v>
      </c>
    </row>
    <row r="2011" spans="1:1" x14ac:dyDescent="0.2">
      <c r="A2011" t="s">
        <v>2157</v>
      </c>
    </row>
    <row r="2012" spans="1:1" x14ac:dyDescent="0.2">
      <c r="A2012" t="s">
        <v>2158</v>
      </c>
    </row>
    <row r="2013" spans="1:1" x14ac:dyDescent="0.2">
      <c r="A2013" t="s">
        <v>2159</v>
      </c>
    </row>
    <row r="2014" spans="1:1" x14ac:dyDescent="0.2">
      <c r="A2014" t="s">
        <v>2160</v>
      </c>
    </row>
    <row r="2015" spans="1:1" x14ac:dyDescent="0.2">
      <c r="A2015" t="s">
        <v>2161</v>
      </c>
    </row>
    <row r="2016" spans="1:1" x14ac:dyDescent="0.2">
      <c r="A2016" t="s">
        <v>2162</v>
      </c>
    </row>
    <row r="2017" spans="1:1" x14ac:dyDescent="0.2">
      <c r="A2017" t="s">
        <v>2163</v>
      </c>
    </row>
    <row r="2018" spans="1:1" x14ac:dyDescent="0.2">
      <c r="A2018" t="s">
        <v>2164</v>
      </c>
    </row>
    <row r="2019" spans="1:1" x14ac:dyDescent="0.2">
      <c r="A2019" t="s">
        <v>2165</v>
      </c>
    </row>
    <row r="2020" spans="1:1" x14ac:dyDescent="0.2">
      <c r="A2020" t="s">
        <v>2166</v>
      </c>
    </row>
    <row r="2021" spans="1:1" x14ac:dyDescent="0.2">
      <c r="A2021" t="s">
        <v>2167</v>
      </c>
    </row>
    <row r="2022" spans="1:1" x14ac:dyDescent="0.2">
      <c r="A2022" t="s">
        <v>2168</v>
      </c>
    </row>
    <row r="2023" spans="1:1" x14ac:dyDescent="0.2">
      <c r="A2023" t="s">
        <v>2169</v>
      </c>
    </row>
    <row r="2024" spans="1:1" x14ac:dyDescent="0.2">
      <c r="A2024" t="s">
        <v>2170</v>
      </c>
    </row>
    <row r="2025" spans="1:1" x14ac:dyDescent="0.2">
      <c r="A2025" t="s">
        <v>2171</v>
      </c>
    </row>
    <row r="2026" spans="1:1" x14ac:dyDescent="0.2">
      <c r="A2026" t="s">
        <v>2172</v>
      </c>
    </row>
    <row r="2027" spans="1:1" x14ac:dyDescent="0.2">
      <c r="A2027" t="s">
        <v>2173</v>
      </c>
    </row>
    <row r="2028" spans="1:1" x14ac:dyDescent="0.2">
      <c r="A2028" t="s">
        <v>2174</v>
      </c>
    </row>
    <row r="2029" spans="1:1" x14ac:dyDescent="0.2">
      <c r="A2029" t="s">
        <v>2175</v>
      </c>
    </row>
    <row r="2030" spans="1:1" x14ac:dyDescent="0.2">
      <c r="A2030" t="s">
        <v>2176</v>
      </c>
    </row>
    <row r="2031" spans="1:1" x14ac:dyDescent="0.2">
      <c r="A2031" t="s">
        <v>2177</v>
      </c>
    </row>
    <row r="2032" spans="1:1" x14ac:dyDescent="0.2">
      <c r="A2032" t="s">
        <v>2178</v>
      </c>
    </row>
    <row r="2033" spans="1:1" x14ac:dyDescent="0.2">
      <c r="A2033" t="s">
        <v>2179</v>
      </c>
    </row>
    <row r="2034" spans="1:1" x14ac:dyDescent="0.2">
      <c r="A2034" t="s">
        <v>2180</v>
      </c>
    </row>
    <row r="2035" spans="1:1" x14ac:dyDescent="0.2">
      <c r="A2035" t="s">
        <v>2181</v>
      </c>
    </row>
    <row r="2036" spans="1:1" x14ac:dyDescent="0.2">
      <c r="A2036" t="s">
        <v>2182</v>
      </c>
    </row>
    <row r="2037" spans="1:1" x14ac:dyDescent="0.2">
      <c r="A2037" t="s">
        <v>2183</v>
      </c>
    </row>
    <row r="2038" spans="1:1" x14ac:dyDescent="0.2">
      <c r="A2038" t="s">
        <v>2184</v>
      </c>
    </row>
    <row r="2039" spans="1:1" x14ac:dyDescent="0.2">
      <c r="A2039" t="s">
        <v>2185</v>
      </c>
    </row>
    <row r="2040" spans="1:1" x14ac:dyDescent="0.2">
      <c r="A2040" t="s">
        <v>2186</v>
      </c>
    </row>
    <row r="2041" spans="1:1" x14ac:dyDescent="0.2">
      <c r="A2041" t="s">
        <v>2187</v>
      </c>
    </row>
    <row r="2042" spans="1:1" x14ac:dyDescent="0.2">
      <c r="A2042" t="s">
        <v>2188</v>
      </c>
    </row>
    <row r="2043" spans="1:1" x14ac:dyDescent="0.2">
      <c r="A2043" t="s">
        <v>2189</v>
      </c>
    </row>
    <row r="2044" spans="1:1" x14ac:dyDescent="0.2">
      <c r="A2044" t="s">
        <v>2190</v>
      </c>
    </row>
    <row r="2045" spans="1:1" x14ac:dyDescent="0.2">
      <c r="A2045" t="s">
        <v>2191</v>
      </c>
    </row>
    <row r="2046" spans="1:1" x14ac:dyDescent="0.2">
      <c r="A2046" t="s">
        <v>2192</v>
      </c>
    </row>
    <row r="2047" spans="1:1" x14ac:dyDescent="0.2">
      <c r="A2047" t="s">
        <v>2193</v>
      </c>
    </row>
    <row r="2048" spans="1:1" x14ac:dyDescent="0.2">
      <c r="A2048" t="s">
        <v>2194</v>
      </c>
    </row>
    <row r="2049" spans="1:1" x14ac:dyDescent="0.2">
      <c r="A2049" t="s">
        <v>2195</v>
      </c>
    </row>
    <row r="2050" spans="1:1" x14ac:dyDescent="0.2">
      <c r="A2050" t="s">
        <v>2196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InsertMainLadies_click">
                <anchor moveWithCells="1" sizeWithCells="1">
                  <from>
                    <xdr:col>0</xdr:col>
                    <xdr:colOff>95250</xdr:colOff>
                    <xdr:row>30</xdr:row>
                    <xdr:rowOff>66675</xdr:rowOff>
                  </from>
                  <to>
                    <xdr:col>2</xdr:col>
                    <xdr:colOff>533400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enerateInsertCustomLadies_click">
                <anchor moveWithCells="1" sizeWithCells="1">
                  <from>
                    <xdr:col>2</xdr:col>
                    <xdr:colOff>876300</xdr:colOff>
                    <xdr:row>30</xdr:row>
                    <xdr:rowOff>66675</xdr:rowOff>
                  </from>
                  <to>
                    <xdr:col>7</xdr:col>
                    <xdr:colOff>123825</xdr:colOff>
                    <xdr:row>32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CV2050"/>
  <sheetViews>
    <sheetView tabSelected="1" zoomScaleNormal="100" workbookViewId="0">
      <pane xSplit="4" ySplit="1" topLeftCell="E2007" activePane="bottomRight" state="frozen"/>
      <selection pane="topRight" activeCell="E1" sqref="E1"/>
      <selection pane="bottomLeft" activeCell="A2" sqref="A2"/>
      <selection pane="bottomRight" activeCell="A35" sqref="A35:A2050"/>
    </sheetView>
  </sheetViews>
  <sheetFormatPr defaultRowHeight="12.75" x14ac:dyDescent="0.2"/>
  <cols>
    <col min="1" max="1" width="18.85546875" customWidth="1"/>
    <col min="2" max="2" width="13.85546875" bestFit="1" customWidth="1"/>
    <col min="3" max="3" width="15.7109375" bestFit="1" customWidth="1"/>
    <col min="4" max="4" width="9.28515625" bestFit="1" customWidth="1"/>
    <col min="5" max="17" width="8.5703125" bestFit="1" customWidth="1"/>
    <col min="18" max="18" width="7.5703125" bestFit="1" customWidth="1"/>
    <col min="19" max="20" width="8.5703125" bestFit="1" customWidth="1"/>
    <col min="21" max="27" width="5.28515625" bestFit="1" customWidth="1"/>
    <col min="28" max="31" width="8" bestFit="1" customWidth="1"/>
    <col min="32" max="32" width="7" bestFit="1" customWidth="1"/>
    <col min="33" max="35" width="8" bestFit="1" customWidth="1"/>
    <col min="36" max="36" width="7" bestFit="1" customWidth="1"/>
    <col min="37" max="42" width="8" bestFit="1" customWidth="1"/>
    <col min="43" max="43" width="7" bestFit="1" customWidth="1"/>
    <col min="44" max="48" width="8" bestFit="1" customWidth="1"/>
    <col min="49" max="49" width="7" bestFit="1" customWidth="1"/>
    <col min="50" max="52" width="8" bestFit="1" customWidth="1"/>
    <col min="53" max="53" width="7" bestFit="1" customWidth="1"/>
    <col min="54" max="55" width="8" bestFit="1" customWidth="1"/>
    <col min="56" max="56" width="7.5703125" bestFit="1" customWidth="1"/>
    <col min="57" max="63" width="8.5703125" bestFit="1" customWidth="1"/>
    <col min="64" max="64" width="7.5703125" bestFit="1" customWidth="1"/>
    <col min="65" max="66" width="8.5703125" bestFit="1" customWidth="1"/>
    <col min="67" max="67" width="7.5703125" bestFit="1" customWidth="1"/>
    <col min="68" max="70" width="8.5703125" bestFit="1" customWidth="1"/>
    <col min="71" max="71" width="7.5703125" bestFit="1" customWidth="1"/>
    <col min="72" max="76" width="8.5703125" bestFit="1" customWidth="1"/>
    <col min="77" max="77" width="7.5703125" bestFit="1" customWidth="1"/>
    <col min="78" max="78" width="8.5703125" bestFit="1" customWidth="1"/>
    <col min="79" max="79" width="7.5703125" bestFit="1" customWidth="1"/>
    <col min="80" max="84" width="8.5703125" bestFit="1" customWidth="1"/>
    <col min="85" max="86" width="7.5703125" bestFit="1" customWidth="1"/>
    <col min="87" max="91" width="8.5703125" bestFit="1" customWidth="1"/>
    <col min="92" max="92" width="7.5703125" bestFit="1" customWidth="1"/>
    <col min="93" max="97" width="8.5703125" bestFit="1" customWidth="1"/>
    <col min="98" max="98" width="7.5703125" bestFit="1" customWidth="1"/>
    <col min="99" max="100" width="8.5703125" bestFit="1" customWidth="1"/>
  </cols>
  <sheetData>
    <row r="1" spans="1:100" x14ac:dyDescent="0.2">
      <c r="A1" t="s">
        <v>81</v>
      </c>
      <c r="B1" t="s">
        <v>22</v>
      </c>
      <c r="C1" t="s">
        <v>20</v>
      </c>
      <c r="D1" t="s">
        <v>19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95</v>
      </c>
      <c r="S1" t="s">
        <v>96</v>
      </c>
      <c r="T1" t="s">
        <v>97</v>
      </c>
      <c r="U1" t="s">
        <v>98</v>
      </c>
      <c r="V1" t="s">
        <v>99</v>
      </c>
      <c r="W1" t="s">
        <v>100</v>
      </c>
      <c r="X1" t="s">
        <v>101</v>
      </c>
      <c r="Y1" t="s">
        <v>102</v>
      </c>
      <c r="Z1" t="s">
        <v>103</v>
      </c>
      <c r="AA1" t="s">
        <v>104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110</v>
      </c>
      <c r="AH1" t="s">
        <v>111</v>
      </c>
      <c r="AI1" t="s">
        <v>112</v>
      </c>
      <c r="AJ1" t="s">
        <v>113</v>
      </c>
      <c r="AK1" t="s">
        <v>114</v>
      </c>
      <c r="AL1" t="s">
        <v>115</v>
      </c>
      <c r="AM1" t="s">
        <v>116</v>
      </c>
      <c r="AN1" t="s">
        <v>117</v>
      </c>
      <c r="AO1" t="s">
        <v>118</v>
      </c>
      <c r="AP1" t="s">
        <v>119</v>
      </c>
      <c r="AQ1" t="s">
        <v>120</v>
      </c>
      <c r="AR1" t="s">
        <v>121</v>
      </c>
      <c r="AS1" t="s">
        <v>122</v>
      </c>
      <c r="AT1" t="s">
        <v>123</v>
      </c>
      <c r="AU1" t="s">
        <v>124</v>
      </c>
      <c r="AV1" t="s">
        <v>125</v>
      </c>
      <c r="AW1" t="s">
        <v>126</v>
      </c>
      <c r="AX1" t="s">
        <v>127</v>
      </c>
      <c r="AY1" t="s">
        <v>128</v>
      </c>
      <c r="AZ1" t="s">
        <v>129</v>
      </c>
      <c r="BA1" t="s">
        <v>130</v>
      </c>
      <c r="BB1" t="s">
        <v>131</v>
      </c>
      <c r="BC1" t="s">
        <v>132</v>
      </c>
      <c r="BD1" t="s">
        <v>133</v>
      </c>
      <c r="BE1" t="s">
        <v>134</v>
      </c>
      <c r="BF1" t="s">
        <v>135</v>
      </c>
      <c r="BG1" t="s">
        <v>136</v>
      </c>
      <c r="BH1" t="s">
        <v>137</v>
      </c>
      <c r="BI1" t="s">
        <v>138</v>
      </c>
      <c r="BJ1" t="s">
        <v>139</v>
      </c>
      <c r="BK1" t="s">
        <v>140</v>
      </c>
      <c r="BL1" t="s">
        <v>141</v>
      </c>
      <c r="BM1" t="s">
        <v>142</v>
      </c>
      <c r="BN1" t="s">
        <v>143</v>
      </c>
      <c r="BO1" t="s">
        <v>144</v>
      </c>
      <c r="BP1" t="s">
        <v>145</v>
      </c>
      <c r="BQ1" t="s">
        <v>146</v>
      </c>
      <c r="BR1" t="s">
        <v>147</v>
      </c>
      <c r="BS1" t="s">
        <v>148</v>
      </c>
      <c r="BT1" t="s">
        <v>149</v>
      </c>
      <c r="BU1" t="s">
        <v>150</v>
      </c>
      <c r="BV1" t="s">
        <v>151</v>
      </c>
      <c r="BW1" t="s">
        <v>152</v>
      </c>
      <c r="BX1" t="s">
        <v>153</v>
      </c>
      <c r="BY1" t="s">
        <v>154</v>
      </c>
      <c r="BZ1" t="s">
        <v>155</v>
      </c>
      <c r="CA1" t="s">
        <v>156</v>
      </c>
      <c r="CB1" t="s">
        <v>157</v>
      </c>
      <c r="CC1" t="s">
        <v>158</v>
      </c>
      <c r="CD1" t="s">
        <v>159</v>
      </c>
      <c r="CE1" t="s">
        <v>160</v>
      </c>
      <c r="CF1" t="s">
        <v>161</v>
      </c>
      <c r="CG1" t="s">
        <v>162</v>
      </c>
      <c r="CH1" t="s">
        <v>163</v>
      </c>
      <c r="CI1" t="s">
        <v>164</v>
      </c>
      <c r="CJ1" t="s">
        <v>165</v>
      </c>
      <c r="CK1" t="s">
        <v>166</v>
      </c>
      <c r="CL1" t="s">
        <v>167</v>
      </c>
      <c r="CM1" t="s">
        <v>168</v>
      </c>
      <c r="CN1" t="s">
        <v>169</v>
      </c>
      <c r="CO1" t="s">
        <v>170</v>
      </c>
      <c r="CP1" t="s">
        <v>171</v>
      </c>
      <c r="CQ1" t="s">
        <v>172</v>
      </c>
      <c r="CR1" t="s">
        <v>173</v>
      </c>
      <c r="CS1" t="s">
        <v>174</v>
      </c>
      <c r="CT1" t="s">
        <v>175</v>
      </c>
      <c r="CU1" t="s">
        <v>176</v>
      </c>
      <c r="CV1" t="s">
        <v>177</v>
      </c>
    </row>
    <row r="2" spans="1:100" x14ac:dyDescent="0.2">
      <c r="A2" t="s">
        <v>71</v>
      </c>
      <c r="B2" t="s">
        <v>70</v>
      </c>
      <c r="C2">
        <v>1.6093440000000001</v>
      </c>
      <c r="D2">
        <v>227.00000000000003</v>
      </c>
      <c r="E2">
        <v>0.60619999999999996</v>
      </c>
      <c r="F2">
        <v>0.66020000000000001</v>
      </c>
      <c r="G2">
        <v>0.71020000000000005</v>
      </c>
      <c r="H2">
        <v>0.75619999999999998</v>
      </c>
      <c r="I2">
        <v>0.79820000000000002</v>
      </c>
      <c r="J2">
        <v>0.83620000000000005</v>
      </c>
      <c r="K2">
        <v>0.87019999999999997</v>
      </c>
      <c r="L2">
        <v>0.9002</v>
      </c>
      <c r="M2">
        <v>0.92620000000000002</v>
      </c>
      <c r="N2">
        <v>0.94820000000000004</v>
      </c>
      <c r="O2">
        <v>0.96619999999999995</v>
      </c>
      <c r="P2">
        <v>0.98019999999999996</v>
      </c>
      <c r="Q2">
        <v>0.99219999999999997</v>
      </c>
      <c r="R2">
        <v>0.99960000000000004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0.99990000000000001</v>
      </c>
      <c r="AD2">
        <v>0.99919999999999998</v>
      </c>
      <c r="AE2">
        <v>0.99760000000000004</v>
      </c>
      <c r="AF2">
        <v>0.99529999999999996</v>
      </c>
      <c r="AG2">
        <v>0.99199999999999999</v>
      </c>
      <c r="AH2">
        <v>0.98799999999999999</v>
      </c>
      <c r="AI2">
        <v>0.98319999999999996</v>
      </c>
      <c r="AJ2">
        <v>0.97750000000000004</v>
      </c>
      <c r="AK2">
        <v>0.97099999999999997</v>
      </c>
      <c r="AL2">
        <v>0.96409999999999996</v>
      </c>
      <c r="AM2">
        <v>0.95720000000000005</v>
      </c>
      <c r="AN2">
        <v>0.95030000000000003</v>
      </c>
      <c r="AO2">
        <v>0.94340000000000002</v>
      </c>
      <c r="AP2">
        <v>0.9365</v>
      </c>
      <c r="AQ2">
        <v>0.92959999999999998</v>
      </c>
      <c r="AR2">
        <v>0.92269999999999996</v>
      </c>
      <c r="AS2">
        <v>0.91579999999999995</v>
      </c>
      <c r="AT2">
        <v>0.90890000000000004</v>
      </c>
      <c r="AU2">
        <v>0.90200000000000002</v>
      </c>
      <c r="AV2">
        <v>0.89510000000000001</v>
      </c>
      <c r="AW2">
        <v>0.88819999999999999</v>
      </c>
      <c r="AX2">
        <v>0.88129999999999997</v>
      </c>
      <c r="AY2">
        <v>0.87439999999999996</v>
      </c>
      <c r="AZ2">
        <v>0.86750000000000005</v>
      </c>
      <c r="BA2">
        <v>0.86060000000000003</v>
      </c>
      <c r="BB2">
        <v>0.85370000000000001</v>
      </c>
      <c r="BC2">
        <v>0.8468</v>
      </c>
      <c r="BD2">
        <v>0.83989999999999998</v>
      </c>
      <c r="BE2">
        <v>0.83299999999999996</v>
      </c>
      <c r="BF2">
        <v>0.82609999999999995</v>
      </c>
      <c r="BG2">
        <v>0.81920000000000004</v>
      </c>
      <c r="BH2">
        <v>0.81230000000000002</v>
      </c>
      <c r="BI2">
        <v>0.8054</v>
      </c>
      <c r="BJ2">
        <v>0.79849999999999999</v>
      </c>
      <c r="BK2">
        <v>0.79159999999999997</v>
      </c>
      <c r="BL2">
        <v>0.78469999999999995</v>
      </c>
      <c r="BM2">
        <v>0.77780000000000005</v>
      </c>
      <c r="BN2">
        <v>0.77090000000000003</v>
      </c>
      <c r="BO2">
        <v>0.76400000000000001</v>
      </c>
      <c r="BP2">
        <v>0.75680000000000003</v>
      </c>
      <c r="BQ2">
        <v>0.749</v>
      </c>
      <c r="BR2">
        <v>0.74060000000000004</v>
      </c>
      <c r="BS2">
        <v>0.73150000000000004</v>
      </c>
      <c r="BT2">
        <v>0.72189999999999999</v>
      </c>
      <c r="BU2">
        <v>0.71160000000000001</v>
      </c>
      <c r="BV2">
        <v>0.70079999999999998</v>
      </c>
      <c r="BW2">
        <v>0.68930000000000002</v>
      </c>
      <c r="BX2">
        <v>0.67720000000000002</v>
      </c>
      <c r="BY2">
        <v>0.66449999999999998</v>
      </c>
      <c r="BZ2">
        <v>0.6512</v>
      </c>
      <c r="CA2">
        <v>0.63729999999999998</v>
      </c>
      <c r="CB2">
        <v>0.62280000000000002</v>
      </c>
      <c r="CC2">
        <v>0.60760000000000003</v>
      </c>
      <c r="CD2">
        <v>0.59189999999999998</v>
      </c>
      <c r="CE2">
        <v>0.57550000000000001</v>
      </c>
      <c r="CF2">
        <v>0.55859999999999999</v>
      </c>
      <c r="CG2">
        <v>0.54100000000000004</v>
      </c>
      <c r="CH2">
        <v>0.52280000000000004</v>
      </c>
      <c r="CI2">
        <v>0.504</v>
      </c>
      <c r="CJ2">
        <v>0.48459999999999998</v>
      </c>
      <c r="CK2">
        <v>0.46460000000000001</v>
      </c>
      <c r="CL2">
        <v>0.44400000000000001</v>
      </c>
      <c r="CM2">
        <v>0.42270000000000002</v>
      </c>
      <c r="CN2">
        <v>0.40089999999999998</v>
      </c>
      <c r="CO2">
        <v>0.37840000000000001</v>
      </c>
      <c r="CP2">
        <v>0.35539999999999999</v>
      </c>
      <c r="CQ2">
        <v>0.33169999999999999</v>
      </c>
      <c r="CR2">
        <v>0.30740000000000001</v>
      </c>
      <c r="CS2">
        <v>0.28249999999999997</v>
      </c>
      <c r="CT2">
        <v>0.25700000000000001</v>
      </c>
      <c r="CU2">
        <v>0.23089999999999999</v>
      </c>
      <c r="CV2">
        <v>0.20419999999999999</v>
      </c>
    </row>
    <row r="3" spans="1:100" x14ac:dyDescent="0.2">
      <c r="A3" t="s">
        <v>0</v>
      </c>
      <c r="B3" t="s">
        <v>29</v>
      </c>
      <c r="C3">
        <v>5</v>
      </c>
      <c r="D3">
        <v>771</v>
      </c>
      <c r="E3">
        <v>0.60619999999999996</v>
      </c>
      <c r="F3">
        <v>0.66020000000000001</v>
      </c>
      <c r="G3">
        <v>0.71020000000000005</v>
      </c>
      <c r="H3">
        <v>0.75619999999999998</v>
      </c>
      <c r="I3">
        <v>0.79820000000000002</v>
      </c>
      <c r="J3">
        <v>0.83620000000000005</v>
      </c>
      <c r="K3">
        <v>0.87019999999999997</v>
      </c>
      <c r="L3">
        <v>0.9002</v>
      </c>
      <c r="M3">
        <v>0.92620000000000002</v>
      </c>
      <c r="N3">
        <v>0.94820000000000004</v>
      </c>
      <c r="O3">
        <v>0.96619999999999995</v>
      </c>
      <c r="P3">
        <v>0.98019999999999996</v>
      </c>
      <c r="Q3">
        <v>0.99219999999999997</v>
      </c>
      <c r="R3">
        <v>0.99960000000000004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0.99990000000000001</v>
      </c>
      <c r="AE3">
        <v>0.99890000000000001</v>
      </c>
      <c r="AF3">
        <v>0.99690000000000001</v>
      </c>
      <c r="AG3">
        <v>0.99370000000000003</v>
      </c>
      <c r="AH3">
        <v>0.98939999999999995</v>
      </c>
      <c r="AI3">
        <v>0.98409999999999997</v>
      </c>
      <c r="AJ3">
        <v>0.97760000000000002</v>
      </c>
      <c r="AK3">
        <v>0.97060000000000002</v>
      </c>
      <c r="AL3">
        <v>0.96360000000000001</v>
      </c>
      <c r="AM3">
        <v>0.95660000000000001</v>
      </c>
      <c r="AN3">
        <v>0.9496</v>
      </c>
      <c r="AO3">
        <v>0.94259999999999999</v>
      </c>
      <c r="AP3">
        <v>0.93559999999999999</v>
      </c>
      <c r="AQ3">
        <v>0.92859999999999998</v>
      </c>
      <c r="AR3">
        <v>0.92159999999999997</v>
      </c>
      <c r="AS3">
        <v>0.91459999999999997</v>
      </c>
      <c r="AT3">
        <v>0.90759999999999996</v>
      </c>
      <c r="AU3">
        <v>0.90059999999999996</v>
      </c>
      <c r="AV3">
        <v>0.89359999999999995</v>
      </c>
      <c r="AW3">
        <v>0.88660000000000005</v>
      </c>
      <c r="AX3">
        <v>0.87960000000000005</v>
      </c>
      <c r="AY3">
        <v>0.87260000000000004</v>
      </c>
      <c r="AZ3">
        <v>0.86560000000000004</v>
      </c>
      <c r="BA3">
        <v>0.85860000000000003</v>
      </c>
      <c r="BB3">
        <v>0.85160000000000002</v>
      </c>
      <c r="BC3">
        <v>0.84460000000000002</v>
      </c>
      <c r="BD3">
        <v>0.83760000000000001</v>
      </c>
      <c r="BE3">
        <v>0.8306</v>
      </c>
      <c r="BF3">
        <v>0.8236</v>
      </c>
      <c r="BG3">
        <v>0.81659999999999999</v>
      </c>
      <c r="BH3">
        <v>0.80959999999999999</v>
      </c>
      <c r="BI3">
        <v>0.80259999999999998</v>
      </c>
      <c r="BJ3">
        <v>0.79559999999999997</v>
      </c>
      <c r="BK3">
        <v>0.78859999999999997</v>
      </c>
      <c r="BL3">
        <v>0.78159999999999996</v>
      </c>
      <c r="BM3">
        <v>0.77459999999999996</v>
      </c>
      <c r="BN3">
        <v>0.76759999999999995</v>
      </c>
      <c r="BO3">
        <v>0.76060000000000005</v>
      </c>
      <c r="BP3">
        <v>0.75329999999999997</v>
      </c>
      <c r="BQ3">
        <v>0.74539999999999995</v>
      </c>
      <c r="BR3">
        <v>0.7369</v>
      </c>
      <c r="BS3">
        <v>0.7278</v>
      </c>
      <c r="BT3">
        <v>0.71819999999999995</v>
      </c>
      <c r="BU3">
        <v>0.70789999999999997</v>
      </c>
      <c r="BV3">
        <v>0.69699999999999995</v>
      </c>
      <c r="BW3">
        <v>0.68559999999999999</v>
      </c>
      <c r="BX3">
        <v>0.67349999999999999</v>
      </c>
      <c r="BY3">
        <v>0.66090000000000004</v>
      </c>
      <c r="BZ3">
        <v>0.64770000000000005</v>
      </c>
      <c r="CA3">
        <v>0.63380000000000003</v>
      </c>
      <c r="CB3">
        <v>0.61939999999999995</v>
      </c>
      <c r="CC3">
        <v>0.60440000000000005</v>
      </c>
      <c r="CD3">
        <v>0.58879999999999999</v>
      </c>
      <c r="CE3">
        <v>0.5726</v>
      </c>
      <c r="CF3">
        <v>0.55579999999999996</v>
      </c>
      <c r="CG3">
        <v>0.53839999999999999</v>
      </c>
      <c r="CH3">
        <v>0.52039999999999997</v>
      </c>
      <c r="CI3">
        <v>0.50180000000000002</v>
      </c>
      <c r="CJ3">
        <v>0.48259999999999997</v>
      </c>
      <c r="CK3">
        <v>0.46289999999999998</v>
      </c>
      <c r="CL3">
        <v>0.4425</v>
      </c>
      <c r="CM3">
        <v>0.42149999999999999</v>
      </c>
      <c r="CN3">
        <v>0.4</v>
      </c>
      <c r="CO3">
        <v>0.37780000000000002</v>
      </c>
      <c r="CP3">
        <v>0.35510000000000003</v>
      </c>
      <c r="CQ3">
        <v>0.33179999999999998</v>
      </c>
      <c r="CR3">
        <v>0.30780000000000002</v>
      </c>
      <c r="CS3">
        <v>0.2833</v>
      </c>
      <c r="CT3">
        <v>0.25819999999999999</v>
      </c>
      <c r="CU3">
        <v>0.23250000000000001</v>
      </c>
      <c r="CV3">
        <v>0.20619999999999999</v>
      </c>
    </row>
    <row r="4" spans="1:100" x14ac:dyDescent="0.2">
      <c r="A4" t="s">
        <v>1</v>
      </c>
      <c r="B4" t="s">
        <v>30</v>
      </c>
      <c r="C4">
        <v>6</v>
      </c>
      <c r="D4">
        <v>933</v>
      </c>
      <c r="E4">
        <v>0.60560000000000003</v>
      </c>
      <c r="F4">
        <v>0.65959999999999996</v>
      </c>
      <c r="G4">
        <v>0.70960000000000001</v>
      </c>
      <c r="H4">
        <v>0.75560000000000005</v>
      </c>
      <c r="I4">
        <v>0.79759999999999998</v>
      </c>
      <c r="J4">
        <v>0.83560000000000001</v>
      </c>
      <c r="K4">
        <v>0.86960000000000004</v>
      </c>
      <c r="L4">
        <v>0.89959999999999996</v>
      </c>
      <c r="M4">
        <v>0.92559999999999998</v>
      </c>
      <c r="N4">
        <v>0.9476</v>
      </c>
      <c r="O4">
        <v>0.96560000000000001</v>
      </c>
      <c r="P4">
        <v>0.97960000000000003</v>
      </c>
      <c r="Q4">
        <v>0.99160000000000004</v>
      </c>
      <c r="R4">
        <v>0.99929999999999997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0.99919999999999998</v>
      </c>
      <c r="AF4">
        <v>0.99750000000000005</v>
      </c>
      <c r="AG4">
        <v>0.99480000000000002</v>
      </c>
      <c r="AH4">
        <v>0.99109999999999998</v>
      </c>
      <c r="AI4">
        <v>0.98650000000000004</v>
      </c>
      <c r="AJ4">
        <v>0.98099999999999998</v>
      </c>
      <c r="AK4">
        <v>0.97440000000000004</v>
      </c>
      <c r="AL4">
        <v>0.96730000000000005</v>
      </c>
      <c r="AM4">
        <v>0.96020000000000005</v>
      </c>
      <c r="AN4">
        <v>0.95309999999999995</v>
      </c>
      <c r="AO4">
        <v>0.94589999999999996</v>
      </c>
      <c r="AP4">
        <v>0.93879999999999997</v>
      </c>
      <c r="AQ4">
        <v>0.93169999999999997</v>
      </c>
      <c r="AR4">
        <v>0.92449999999999999</v>
      </c>
      <c r="AS4">
        <v>0.91739999999999999</v>
      </c>
      <c r="AT4">
        <v>0.9103</v>
      </c>
      <c r="AU4">
        <v>0.90310000000000001</v>
      </c>
      <c r="AV4">
        <v>0.89600000000000002</v>
      </c>
      <c r="AW4">
        <v>0.88890000000000002</v>
      </c>
      <c r="AX4">
        <v>0.88170000000000004</v>
      </c>
      <c r="AY4">
        <v>0.87460000000000004</v>
      </c>
      <c r="AZ4">
        <v>0.86750000000000005</v>
      </c>
      <c r="BA4">
        <v>0.86040000000000005</v>
      </c>
      <c r="BB4">
        <v>0.85319999999999996</v>
      </c>
      <c r="BC4">
        <v>0.84609999999999996</v>
      </c>
      <c r="BD4">
        <v>0.83899999999999997</v>
      </c>
      <c r="BE4">
        <v>0.83179999999999998</v>
      </c>
      <c r="BF4">
        <v>0.82469999999999999</v>
      </c>
      <c r="BG4">
        <v>0.81759999999999999</v>
      </c>
      <c r="BH4">
        <v>0.81040000000000001</v>
      </c>
      <c r="BI4">
        <v>0.80330000000000001</v>
      </c>
      <c r="BJ4">
        <v>0.79620000000000002</v>
      </c>
      <c r="BK4">
        <v>0.78900000000000003</v>
      </c>
      <c r="BL4">
        <v>0.78190000000000004</v>
      </c>
      <c r="BM4">
        <v>0.77480000000000004</v>
      </c>
      <c r="BN4">
        <v>0.76759999999999995</v>
      </c>
      <c r="BO4">
        <v>0.76049999999999995</v>
      </c>
      <c r="BP4">
        <v>0.75339999999999996</v>
      </c>
      <c r="BQ4">
        <v>0.74580000000000002</v>
      </c>
      <c r="BR4">
        <v>0.73760000000000003</v>
      </c>
      <c r="BS4">
        <v>0.7288</v>
      </c>
      <c r="BT4">
        <v>0.71940000000000004</v>
      </c>
      <c r="BU4">
        <v>0.70940000000000003</v>
      </c>
      <c r="BV4">
        <v>0.69869999999999999</v>
      </c>
      <c r="BW4">
        <v>0.6875</v>
      </c>
      <c r="BX4">
        <v>0.67559999999999998</v>
      </c>
      <c r="BY4">
        <v>0.66310000000000002</v>
      </c>
      <c r="BZ4">
        <v>0.65010000000000001</v>
      </c>
      <c r="CA4">
        <v>0.63629999999999998</v>
      </c>
      <c r="CB4">
        <v>0.622</v>
      </c>
      <c r="CC4">
        <v>0.60709999999999997</v>
      </c>
      <c r="CD4">
        <v>0.59150000000000003</v>
      </c>
      <c r="CE4">
        <v>0.57540000000000002</v>
      </c>
      <c r="CF4">
        <v>0.55859999999999999</v>
      </c>
      <c r="CG4">
        <v>0.54120000000000001</v>
      </c>
      <c r="CH4">
        <v>0.5232</v>
      </c>
      <c r="CI4">
        <v>0.50460000000000005</v>
      </c>
      <c r="CJ4">
        <v>0.48530000000000001</v>
      </c>
      <c r="CK4">
        <v>0.46550000000000002</v>
      </c>
      <c r="CL4">
        <v>0.44500000000000001</v>
      </c>
      <c r="CM4">
        <v>0.42399999999999999</v>
      </c>
      <c r="CN4">
        <v>0.40229999999999999</v>
      </c>
      <c r="CO4">
        <v>0.38</v>
      </c>
      <c r="CP4">
        <v>0.35709999999999997</v>
      </c>
      <c r="CQ4">
        <v>0.33350000000000002</v>
      </c>
      <c r="CR4">
        <v>0.30940000000000001</v>
      </c>
      <c r="CS4">
        <v>0.28460000000000002</v>
      </c>
      <c r="CT4">
        <v>0.25919999999999999</v>
      </c>
      <c r="CU4">
        <v>0.23330000000000001</v>
      </c>
      <c r="CV4">
        <v>0.20660000000000001</v>
      </c>
    </row>
    <row r="5" spans="1:100" x14ac:dyDescent="0.2">
      <c r="A5" t="s">
        <v>2</v>
      </c>
      <c r="B5" t="s">
        <v>28</v>
      </c>
      <c r="C5">
        <v>6.4373760000000004</v>
      </c>
      <c r="D5">
        <v>1002.9999999999999</v>
      </c>
      <c r="E5">
        <v>0.60560000000000003</v>
      </c>
      <c r="F5">
        <v>0.65959999999999996</v>
      </c>
      <c r="G5">
        <v>0.70960000000000001</v>
      </c>
      <c r="H5">
        <v>0.75560000000000005</v>
      </c>
      <c r="I5">
        <v>0.79759999999999998</v>
      </c>
      <c r="J5">
        <v>0.83560000000000001</v>
      </c>
      <c r="K5">
        <v>0.86960000000000004</v>
      </c>
      <c r="L5">
        <v>0.89959999999999996</v>
      </c>
      <c r="M5">
        <v>0.92559999999999998</v>
      </c>
      <c r="N5">
        <v>0.9476</v>
      </c>
      <c r="O5">
        <v>0.96560000000000001</v>
      </c>
      <c r="P5">
        <v>0.97960000000000003</v>
      </c>
      <c r="Q5">
        <v>0.99160000000000004</v>
      </c>
      <c r="R5">
        <v>0.99929999999999997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0.99929999999999997</v>
      </c>
      <c r="AF5">
        <v>0.99770000000000003</v>
      </c>
      <c r="AG5">
        <v>0.99509999999999998</v>
      </c>
      <c r="AH5">
        <v>0.99170000000000003</v>
      </c>
      <c r="AI5">
        <v>0.98729999999999996</v>
      </c>
      <c r="AJ5">
        <v>0.98199999999999998</v>
      </c>
      <c r="AK5">
        <v>0.9758</v>
      </c>
      <c r="AL5">
        <v>0.96879999999999999</v>
      </c>
      <c r="AM5">
        <v>0.96160000000000001</v>
      </c>
      <c r="AN5">
        <v>0.95440000000000003</v>
      </c>
      <c r="AO5">
        <v>0.94730000000000003</v>
      </c>
      <c r="AP5">
        <v>0.94010000000000005</v>
      </c>
      <c r="AQ5">
        <v>0.93289999999999995</v>
      </c>
      <c r="AR5">
        <v>0.92569999999999997</v>
      </c>
      <c r="AS5">
        <v>0.91849999999999998</v>
      </c>
      <c r="AT5">
        <v>0.9113</v>
      </c>
      <c r="AU5">
        <v>0.9042</v>
      </c>
      <c r="AV5">
        <v>0.89700000000000002</v>
      </c>
      <c r="AW5">
        <v>0.88980000000000004</v>
      </c>
      <c r="AX5">
        <v>0.88260000000000005</v>
      </c>
      <c r="AY5">
        <v>0.87539999999999996</v>
      </c>
      <c r="AZ5">
        <v>0.86829999999999996</v>
      </c>
      <c r="BA5">
        <v>0.86109999999999998</v>
      </c>
      <c r="BB5">
        <v>0.85389999999999999</v>
      </c>
      <c r="BC5">
        <v>0.84670000000000001</v>
      </c>
      <c r="BD5">
        <v>0.83950000000000002</v>
      </c>
      <c r="BE5">
        <v>0.83230000000000004</v>
      </c>
      <c r="BF5">
        <v>0.82520000000000004</v>
      </c>
      <c r="BG5">
        <v>0.81799999999999995</v>
      </c>
      <c r="BH5">
        <v>0.81079999999999997</v>
      </c>
      <c r="BI5">
        <v>0.80359999999999998</v>
      </c>
      <c r="BJ5">
        <v>0.7964</v>
      </c>
      <c r="BK5">
        <v>0.78920000000000001</v>
      </c>
      <c r="BL5">
        <v>0.78210000000000002</v>
      </c>
      <c r="BM5">
        <v>0.77490000000000003</v>
      </c>
      <c r="BN5">
        <v>0.76770000000000005</v>
      </c>
      <c r="BO5">
        <v>0.76049999999999995</v>
      </c>
      <c r="BP5">
        <v>0.75329999999999997</v>
      </c>
      <c r="BQ5">
        <v>0.74590000000000001</v>
      </c>
      <c r="BR5">
        <v>0.73780000000000001</v>
      </c>
      <c r="BS5">
        <v>0.72919999999999996</v>
      </c>
      <c r="BT5">
        <v>0.71989999999999998</v>
      </c>
      <c r="BU5">
        <v>0.70989999999999998</v>
      </c>
      <c r="BV5">
        <v>0.69940000000000002</v>
      </c>
      <c r="BW5">
        <v>0.68820000000000003</v>
      </c>
      <c r="BX5">
        <v>0.6764</v>
      </c>
      <c r="BY5">
        <v>0.66400000000000003</v>
      </c>
      <c r="BZ5">
        <v>0.65100000000000002</v>
      </c>
      <c r="CA5">
        <v>0.63739999999999997</v>
      </c>
      <c r="CB5">
        <v>0.62309999999999999</v>
      </c>
      <c r="CC5">
        <v>0.60819999999999996</v>
      </c>
      <c r="CD5">
        <v>0.5927</v>
      </c>
      <c r="CE5">
        <v>0.57650000000000001</v>
      </c>
      <c r="CF5">
        <v>0.55979999999999996</v>
      </c>
      <c r="CG5">
        <v>0.54239999999999999</v>
      </c>
      <c r="CH5">
        <v>0.52439999999999998</v>
      </c>
      <c r="CI5">
        <v>0.50580000000000003</v>
      </c>
      <c r="CJ5">
        <v>0.48649999999999999</v>
      </c>
      <c r="CK5">
        <v>0.46660000000000001</v>
      </c>
      <c r="CL5">
        <v>0.44619999999999999</v>
      </c>
      <c r="CM5">
        <v>0.42499999999999999</v>
      </c>
      <c r="CN5">
        <v>0.40329999999999999</v>
      </c>
      <c r="CO5">
        <v>0.38090000000000002</v>
      </c>
      <c r="CP5">
        <v>0.35799999999999998</v>
      </c>
      <c r="CQ5">
        <v>0.33439999999999998</v>
      </c>
      <c r="CR5">
        <v>0.31019999999999998</v>
      </c>
      <c r="CS5">
        <v>0.2853</v>
      </c>
      <c r="CT5">
        <v>0.25979999999999998</v>
      </c>
      <c r="CU5">
        <v>0.23380000000000001</v>
      </c>
      <c r="CV5">
        <v>0.20710000000000001</v>
      </c>
    </row>
    <row r="6" spans="1:100" x14ac:dyDescent="0.2">
      <c r="A6" t="s">
        <v>3</v>
      </c>
      <c r="B6" t="s">
        <v>31</v>
      </c>
      <c r="C6">
        <v>8</v>
      </c>
      <c r="D6">
        <v>1257</v>
      </c>
      <c r="E6">
        <v>0.60560000000000003</v>
      </c>
      <c r="F6">
        <v>0.65959999999999996</v>
      </c>
      <c r="G6">
        <v>0.70960000000000001</v>
      </c>
      <c r="H6">
        <v>0.75560000000000005</v>
      </c>
      <c r="I6">
        <v>0.79759999999999998</v>
      </c>
      <c r="J6">
        <v>0.83560000000000001</v>
      </c>
      <c r="K6">
        <v>0.86960000000000004</v>
      </c>
      <c r="L6">
        <v>0.89959999999999996</v>
      </c>
      <c r="M6">
        <v>0.92559999999999998</v>
      </c>
      <c r="N6">
        <v>0.9476</v>
      </c>
      <c r="O6">
        <v>0.96560000000000001</v>
      </c>
      <c r="P6">
        <v>0.97960000000000003</v>
      </c>
      <c r="Q6">
        <v>0.99160000000000004</v>
      </c>
      <c r="R6">
        <v>0.99929999999999997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0.99950000000000006</v>
      </c>
      <c r="AF6">
        <v>0.99819999999999998</v>
      </c>
      <c r="AG6">
        <v>0.996</v>
      </c>
      <c r="AH6">
        <v>0.99309999999999998</v>
      </c>
      <c r="AI6">
        <v>0.98929999999999996</v>
      </c>
      <c r="AJ6">
        <v>0.98480000000000001</v>
      </c>
      <c r="AK6">
        <v>0.97940000000000005</v>
      </c>
      <c r="AL6">
        <v>0.97319999999999995</v>
      </c>
      <c r="AM6">
        <v>0.96619999999999995</v>
      </c>
      <c r="AN6">
        <v>0.95889999999999997</v>
      </c>
      <c r="AO6">
        <v>0.95150000000000001</v>
      </c>
      <c r="AP6">
        <v>0.94420000000000004</v>
      </c>
      <c r="AQ6">
        <v>0.93679999999999997</v>
      </c>
      <c r="AR6">
        <v>0.92949999999999999</v>
      </c>
      <c r="AS6">
        <v>0.92220000000000002</v>
      </c>
      <c r="AT6">
        <v>0.91479999999999995</v>
      </c>
      <c r="AU6">
        <v>0.90749999999999997</v>
      </c>
      <c r="AV6">
        <v>0.90010000000000001</v>
      </c>
      <c r="AW6">
        <v>0.89280000000000004</v>
      </c>
      <c r="AX6">
        <v>0.88549999999999995</v>
      </c>
      <c r="AY6">
        <v>0.87809999999999999</v>
      </c>
      <c r="AZ6">
        <v>0.87080000000000002</v>
      </c>
      <c r="BA6">
        <v>0.86339999999999995</v>
      </c>
      <c r="BB6">
        <v>0.85609999999999997</v>
      </c>
      <c r="BC6">
        <v>0.8488</v>
      </c>
      <c r="BD6">
        <v>0.84140000000000004</v>
      </c>
      <c r="BE6">
        <v>0.83409999999999995</v>
      </c>
      <c r="BF6">
        <v>0.82679999999999998</v>
      </c>
      <c r="BG6">
        <v>0.81940000000000002</v>
      </c>
      <c r="BH6">
        <v>0.81210000000000004</v>
      </c>
      <c r="BI6">
        <v>0.80469999999999997</v>
      </c>
      <c r="BJ6">
        <v>0.7974</v>
      </c>
      <c r="BK6">
        <v>0.79010000000000002</v>
      </c>
      <c r="BL6">
        <v>0.78269999999999995</v>
      </c>
      <c r="BM6">
        <v>0.77539999999999998</v>
      </c>
      <c r="BN6">
        <v>0.76800000000000002</v>
      </c>
      <c r="BO6">
        <v>0.76070000000000004</v>
      </c>
      <c r="BP6">
        <v>0.75339999999999996</v>
      </c>
      <c r="BQ6">
        <v>0.746</v>
      </c>
      <c r="BR6">
        <v>0.73839999999999995</v>
      </c>
      <c r="BS6">
        <v>0.73009999999999997</v>
      </c>
      <c r="BT6">
        <v>0.72119999999999995</v>
      </c>
      <c r="BU6">
        <v>0.71160000000000001</v>
      </c>
      <c r="BV6">
        <v>0.70140000000000002</v>
      </c>
      <c r="BW6">
        <v>0.6905</v>
      </c>
      <c r="BX6">
        <v>0.67900000000000005</v>
      </c>
      <c r="BY6">
        <v>0.66679999999999995</v>
      </c>
      <c r="BZ6">
        <v>0.65400000000000003</v>
      </c>
      <c r="CA6">
        <v>0.64059999999999995</v>
      </c>
      <c r="CB6">
        <v>0.62649999999999995</v>
      </c>
      <c r="CC6">
        <v>0.61170000000000002</v>
      </c>
      <c r="CD6">
        <v>0.59640000000000004</v>
      </c>
      <c r="CE6">
        <v>0.58030000000000004</v>
      </c>
      <c r="CF6">
        <v>0.56359999999999999</v>
      </c>
      <c r="CG6">
        <v>0.54630000000000001</v>
      </c>
      <c r="CH6">
        <v>0.52839999999999998</v>
      </c>
      <c r="CI6">
        <v>0.50970000000000004</v>
      </c>
      <c r="CJ6">
        <v>0.49049999999999999</v>
      </c>
      <c r="CK6">
        <v>0.47060000000000002</v>
      </c>
      <c r="CL6">
        <v>0.45</v>
      </c>
      <c r="CM6">
        <v>0.42880000000000001</v>
      </c>
      <c r="CN6">
        <v>0.40699999999999997</v>
      </c>
      <c r="CO6">
        <v>0.38450000000000001</v>
      </c>
      <c r="CP6">
        <v>0.3614</v>
      </c>
      <c r="CQ6">
        <v>0.33760000000000001</v>
      </c>
      <c r="CR6">
        <v>0.31319999999999998</v>
      </c>
      <c r="CS6">
        <v>0.28810000000000002</v>
      </c>
      <c r="CT6">
        <v>0.26240000000000002</v>
      </c>
      <c r="CU6">
        <v>0.23599999999999999</v>
      </c>
      <c r="CV6">
        <v>0.20899999999999999</v>
      </c>
    </row>
    <row r="7" spans="1:100" x14ac:dyDescent="0.2">
      <c r="A7" t="s">
        <v>4</v>
      </c>
      <c r="B7" t="s">
        <v>32</v>
      </c>
      <c r="C7">
        <v>8.0467200000000005</v>
      </c>
      <c r="D7">
        <v>1264</v>
      </c>
      <c r="E7">
        <v>0.60560000000000003</v>
      </c>
      <c r="F7">
        <v>0.65959999999999996</v>
      </c>
      <c r="G7">
        <v>0.70960000000000001</v>
      </c>
      <c r="H7">
        <v>0.75560000000000005</v>
      </c>
      <c r="I7">
        <v>0.79759999999999998</v>
      </c>
      <c r="J7">
        <v>0.83560000000000001</v>
      </c>
      <c r="K7">
        <v>0.86960000000000004</v>
      </c>
      <c r="L7">
        <v>0.89959999999999996</v>
      </c>
      <c r="M7">
        <v>0.92559999999999998</v>
      </c>
      <c r="N7">
        <v>0.9476</v>
      </c>
      <c r="O7">
        <v>0.96560000000000001</v>
      </c>
      <c r="P7">
        <v>0.97960000000000003</v>
      </c>
      <c r="Q7">
        <v>0.99160000000000004</v>
      </c>
      <c r="R7">
        <v>0.99929999999999997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0.99950000000000006</v>
      </c>
      <c r="AF7">
        <v>0.99819999999999998</v>
      </c>
      <c r="AG7">
        <v>0.996</v>
      </c>
      <c r="AH7">
        <v>0.99309999999999998</v>
      </c>
      <c r="AI7">
        <v>0.98939999999999995</v>
      </c>
      <c r="AJ7">
        <v>0.98480000000000001</v>
      </c>
      <c r="AK7">
        <v>0.97950000000000004</v>
      </c>
      <c r="AL7">
        <v>0.97330000000000005</v>
      </c>
      <c r="AM7">
        <v>0.96630000000000005</v>
      </c>
      <c r="AN7">
        <v>0.95899999999999996</v>
      </c>
      <c r="AO7">
        <v>0.9516</v>
      </c>
      <c r="AP7">
        <v>0.94430000000000003</v>
      </c>
      <c r="AQ7">
        <v>0.93689999999999996</v>
      </c>
      <c r="AR7">
        <v>0.92959999999999998</v>
      </c>
      <c r="AS7">
        <v>0.92230000000000001</v>
      </c>
      <c r="AT7">
        <v>0.91490000000000005</v>
      </c>
      <c r="AU7">
        <v>0.90759999999999996</v>
      </c>
      <c r="AV7">
        <v>0.9002</v>
      </c>
      <c r="AW7">
        <v>0.89290000000000003</v>
      </c>
      <c r="AX7">
        <v>0.88549999999999995</v>
      </c>
      <c r="AY7">
        <v>0.87819999999999998</v>
      </c>
      <c r="AZ7">
        <v>0.87090000000000001</v>
      </c>
      <c r="BA7">
        <v>0.86350000000000005</v>
      </c>
      <c r="BB7">
        <v>0.85619999999999996</v>
      </c>
      <c r="BC7">
        <v>0.8488</v>
      </c>
      <c r="BD7">
        <v>0.84150000000000003</v>
      </c>
      <c r="BE7">
        <v>0.83409999999999995</v>
      </c>
      <c r="BF7">
        <v>0.82679999999999998</v>
      </c>
      <c r="BG7">
        <v>0.81950000000000001</v>
      </c>
      <c r="BH7">
        <v>0.81210000000000004</v>
      </c>
      <c r="BI7">
        <v>0.80479999999999996</v>
      </c>
      <c r="BJ7">
        <v>0.7974</v>
      </c>
      <c r="BK7">
        <v>0.79010000000000002</v>
      </c>
      <c r="BL7">
        <v>0.78269999999999995</v>
      </c>
      <c r="BM7">
        <v>0.77539999999999998</v>
      </c>
      <c r="BN7">
        <v>0.7681</v>
      </c>
      <c r="BO7">
        <v>0.76070000000000004</v>
      </c>
      <c r="BP7">
        <v>0.75339999999999996</v>
      </c>
      <c r="BQ7">
        <v>0.746</v>
      </c>
      <c r="BR7">
        <v>0.73839999999999995</v>
      </c>
      <c r="BS7">
        <v>0.73009999999999997</v>
      </c>
      <c r="BT7">
        <v>0.72119999999999995</v>
      </c>
      <c r="BU7">
        <v>0.71160000000000001</v>
      </c>
      <c r="BV7">
        <v>0.70140000000000002</v>
      </c>
      <c r="BW7">
        <v>0.69059999999999999</v>
      </c>
      <c r="BX7">
        <v>0.67910000000000004</v>
      </c>
      <c r="BY7">
        <v>0.66690000000000005</v>
      </c>
      <c r="BZ7">
        <v>0.65410000000000001</v>
      </c>
      <c r="CA7">
        <v>0.64070000000000005</v>
      </c>
      <c r="CB7">
        <v>0.62660000000000005</v>
      </c>
      <c r="CC7">
        <v>0.61180000000000001</v>
      </c>
      <c r="CD7">
        <v>0.59650000000000003</v>
      </c>
      <c r="CE7">
        <v>0.58040000000000003</v>
      </c>
      <c r="CF7">
        <v>0.56379999999999997</v>
      </c>
      <c r="CG7">
        <v>0.5464</v>
      </c>
      <c r="CH7">
        <v>0.52849999999999997</v>
      </c>
      <c r="CI7">
        <v>0.50990000000000002</v>
      </c>
      <c r="CJ7">
        <v>0.49059999999999998</v>
      </c>
      <c r="CK7">
        <v>0.47070000000000001</v>
      </c>
      <c r="CL7">
        <v>0.4501</v>
      </c>
      <c r="CM7">
        <v>0.4289</v>
      </c>
      <c r="CN7">
        <v>0.40710000000000002</v>
      </c>
      <c r="CO7">
        <v>0.3846</v>
      </c>
      <c r="CP7">
        <v>0.36149999999999999</v>
      </c>
      <c r="CQ7">
        <v>0.3377</v>
      </c>
      <c r="CR7">
        <v>0.31330000000000002</v>
      </c>
      <c r="CS7">
        <v>0.28820000000000001</v>
      </c>
      <c r="CT7">
        <v>0.26250000000000001</v>
      </c>
      <c r="CU7">
        <v>0.2361</v>
      </c>
      <c r="CV7">
        <v>0.20910000000000001</v>
      </c>
    </row>
    <row r="8" spans="1:100" x14ac:dyDescent="0.2">
      <c r="A8" t="s">
        <v>5</v>
      </c>
      <c r="B8" t="s">
        <v>33</v>
      </c>
      <c r="C8">
        <v>10</v>
      </c>
      <c r="D8">
        <v>1584</v>
      </c>
      <c r="E8">
        <v>0.60799999999999998</v>
      </c>
      <c r="F8">
        <v>0.66200000000000003</v>
      </c>
      <c r="G8">
        <v>0.71199999999999997</v>
      </c>
      <c r="H8">
        <v>0.75800000000000001</v>
      </c>
      <c r="I8">
        <v>0.8</v>
      </c>
      <c r="J8">
        <v>0.83799999999999997</v>
      </c>
      <c r="K8">
        <v>0.872</v>
      </c>
      <c r="L8">
        <v>0.90200000000000002</v>
      </c>
      <c r="M8">
        <v>0.92800000000000005</v>
      </c>
      <c r="N8">
        <v>0.95</v>
      </c>
      <c r="O8">
        <v>0.96799999999999997</v>
      </c>
      <c r="P8">
        <v>0.98199999999999998</v>
      </c>
      <c r="Q8">
        <v>0.99199999999999999</v>
      </c>
      <c r="R8">
        <v>0.998</v>
      </c>
      <c r="S8">
        <v>1</v>
      </c>
      <c r="T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0.99960000000000004</v>
      </c>
      <c r="AF8">
        <v>0.99850000000000005</v>
      </c>
      <c r="AG8">
        <v>0.99670000000000003</v>
      </c>
      <c r="AH8">
        <v>0.99419999999999997</v>
      </c>
      <c r="AI8">
        <v>0.9909</v>
      </c>
      <c r="AJ8">
        <v>0.9869</v>
      </c>
      <c r="AK8">
        <v>0.98219999999999996</v>
      </c>
      <c r="AL8">
        <v>0.97670000000000001</v>
      </c>
      <c r="AM8">
        <v>0.97050000000000003</v>
      </c>
      <c r="AN8">
        <v>0.96360000000000001</v>
      </c>
      <c r="AO8">
        <v>0.95609999999999995</v>
      </c>
      <c r="AP8">
        <v>0.9486</v>
      </c>
      <c r="AQ8">
        <v>0.94110000000000005</v>
      </c>
      <c r="AR8">
        <v>0.93359999999999999</v>
      </c>
      <c r="AS8">
        <v>0.92610000000000003</v>
      </c>
      <c r="AT8">
        <v>0.91859999999999997</v>
      </c>
      <c r="AU8">
        <v>0.91110000000000002</v>
      </c>
      <c r="AV8">
        <v>0.90359999999999996</v>
      </c>
      <c r="AW8">
        <v>0.89610000000000001</v>
      </c>
      <c r="AX8">
        <v>0.88859999999999995</v>
      </c>
      <c r="AY8">
        <v>0.88109999999999999</v>
      </c>
      <c r="AZ8">
        <v>0.87360000000000004</v>
      </c>
      <c r="BA8">
        <v>0.86609999999999998</v>
      </c>
      <c r="BB8">
        <v>0.85860000000000003</v>
      </c>
      <c r="BC8">
        <v>0.85109999999999997</v>
      </c>
      <c r="BD8">
        <v>0.84360000000000002</v>
      </c>
      <c r="BE8">
        <v>0.83609999999999995</v>
      </c>
      <c r="BF8">
        <v>0.8286</v>
      </c>
      <c r="BG8">
        <v>0.82110000000000005</v>
      </c>
      <c r="BH8">
        <v>0.81359999999999999</v>
      </c>
      <c r="BI8">
        <v>0.80610000000000004</v>
      </c>
      <c r="BJ8">
        <v>0.79859999999999998</v>
      </c>
      <c r="BK8">
        <v>0.79110000000000003</v>
      </c>
      <c r="BL8">
        <v>0.78359999999999996</v>
      </c>
      <c r="BM8">
        <v>0.77610000000000001</v>
      </c>
      <c r="BN8">
        <v>0.76859999999999995</v>
      </c>
      <c r="BO8">
        <v>0.7611</v>
      </c>
      <c r="BP8">
        <v>0.75360000000000005</v>
      </c>
      <c r="BQ8">
        <v>0.74609999999999999</v>
      </c>
      <c r="BR8">
        <v>0.73860000000000003</v>
      </c>
      <c r="BS8">
        <v>0.73080000000000001</v>
      </c>
      <c r="BT8">
        <v>0.72230000000000005</v>
      </c>
      <c r="BU8">
        <v>0.71309999999999996</v>
      </c>
      <c r="BV8">
        <v>0.70330000000000004</v>
      </c>
      <c r="BW8">
        <v>0.69279999999999997</v>
      </c>
      <c r="BX8">
        <v>0.68159999999999998</v>
      </c>
      <c r="BY8">
        <v>0.66969999999999996</v>
      </c>
      <c r="BZ8">
        <v>0.65720000000000001</v>
      </c>
      <c r="CA8">
        <v>0.64400000000000002</v>
      </c>
      <c r="CB8">
        <v>0.63009999999999999</v>
      </c>
      <c r="CC8">
        <v>0.61560000000000004</v>
      </c>
      <c r="CD8">
        <v>0.60040000000000004</v>
      </c>
      <c r="CE8">
        <v>0.58450000000000002</v>
      </c>
      <c r="CF8">
        <v>0.56799999999999995</v>
      </c>
      <c r="CG8">
        <v>0.55079999999999996</v>
      </c>
      <c r="CH8">
        <v>0.53290000000000004</v>
      </c>
      <c r="CI8">
        <v>0.51429999999999998</v>
      </c>
      <c r="CJ8">
        <v>0.49509999999999998</v>
      </c>
      <c r="CK8">
        <v>0.47520000000000001</v>
      </c>
      <c r="CL8">
        <v>0.4546</v>
      </c>
      <c r="CM8">
        <v>0.43340000000000001</v>
      </c>
      <c r="CN8">
        <v>0.41149999999999998</v>
      </c>
      <c r="CO8">
        <v>0.38890000000000002</v>
      </c>
      <c r="CP8">
        <v>0.36570000000000003</v>
      </c>
      <c r="CQ8">
        <v>0.34179999999999999</v>
      </c>
      <c r="CR8">
        <v>0.31719999999999998</v>
      </c>
      <c r="CS8">
        <v>0.29189999999999999</v>
      </c>
      <c r="CT8">
        <v>0.26600000000000001</v>
      </c>
      <c r="CU8">
        <v>0.2394</v>
      </c>
      <c r="CV8">
        <v>0.21210000000000001</v>
      </c>
    </row>
    <row r="9" spans="1:100" x14ac:dyDescent="0.2">
      <c r="A9" t="s">
        <v>6</v>
      </c>
      <c r="B9" t="s">
        <v>34</v>
      </c>
      <c r="C9">
        <v>12</v>
      </c>
      <c r="D9">
        <v>1922.9999999999998</v>
      </c>
      <c r="E9">
        <v>0.60560000000000003</v>
      </c>
      <c r="F9">
        <v>0.65959999999999996</v>
      </c>
      <c r="G9">
        <v>0.70960000000000001</v>
      </c>
      <c r="H9">
        <v>0.75560000000000005</v>
      </c>
      <c r="I9">
        <v>0.79759999999999998</v>
      </c>
      <c r="J9">
        <v>0.83560000000000001</v>
      </c>
      <c r="K9">
        <v>0.86960000000000004</v>
      </c>
      <c r="L9">
        <v>0.89959999999999996</v>
      </c>
      <c r="M9">
        <v>0.92559999999999998</v>
      </c>
      <c r="N9">
        <v>0.9476</v>
      </c>
      <c r="O9">
        <v>0.96560000000000001</v>
      </c>
      <c r="P9">
        <v>0.97960000000000003</v>
      </c>
      <c r="Q9">
        <v>0.99160000000000004</v>
      </c>
      <c r="R9">
        <v>0.99929999999999997</v>
      </c>
      <c r="S9">
        <v>1</v>
      </c>
      <c r="T9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0.99980000000000002</v>
      </c>
      <c r="AF9">
        <v>0.99890000000000001</v>
      </c>
      <c r="AG9">
        <v>0.99729999999999996</v>
      </c>
      <c r="AH9">
        <v>0.99490000000000001</v>
      </c>
      <c r="AI9">
        <v>0.99180000000000001</v>
      </c>
      <c r="AJ9">
        <v>0.98799999999999999</v>
      </c>
      <c r="AK9">
        <v>0.98340000000000005</v>
      </c>
      <c r="AL9">
        <v>0.97799999999999998</v>
      </c>
      <c r="AM9">
        <v>0.97189999999999999</v>
      </c>
      <c r="AN9">
        <v>0.96509999999999996</v>
      </c>
      <c r="AO9">
        <v>0.95760000000000001</v>
      </c>
      <c r="AP9">
        <v>0.95</v>
      </c>
      <c r="AQ9">
        <v>0.94240000000000002</v>
      </c>
      <c r="AR9">
        <v>0.93489999999999995</v>
      </c>
      <c r="AS9">
        <v>0.92730000000000001</v>
      </c>
      <c r="AT9">
        <v>0.91969999999999996</v>
      </c>
      <c r="AU9">
        <v>0.91220000000000001</v>
      </c>
      <c r="AV9">
        <v>0.90459999999999996</v>
      </c>
      <c r="AW9">
        <v>0.89700000000000002</v>
      </c>
      <c r="AX9">
        <v>0.88949999999999996</v>
      </c>
      <c r="AY9">
        <v>0.88190000000000002</v>
      </c>
      <c r="AZ9">
        <v>0.87429999999999997</v>
      </c>
      <c r="BA9">
        <v>0.86680000000000001</v>
      </c>
      <c r="BB9">
        <v>0.85919999999999996</v>
      </c>
      <c r="BC9">
        <v>0.85160000000000002</v>
      </c>
      <c r="BD9">
        <v>0.84399999999999997</v>
      </c>
      <c r="BE9">
        <v>0.83650000000000002</v>
      </c>
      <c r="BF9">
        <v>0.82889999999999997</v>
      </c>
      <c r="BG9">
        <v>0.82130000000000003</v>
      </c>
      <c r="BH9">
        <v>0.81379999999999997</v>
      </c>
      <c r="BI9">
        <v>0.80620000000000003</v>
      </c>
      <c r="BJ9">
        <v>0.79859999999999998</v>
      </c>
      <c r="BK9">
        <v>0.79110000000000003</v>
      </c>
      <c r="BL9">
        <v>0.78349999999999997</v>
      </c>
      <c r="BM9">
        <v>0.77590000000000003</v>
      </c>
      <c r="BN9">
        <v>0.76839999999999997</v>
      </c>
      <c r="BO9">
        <v>0.76080000000000003</v>
      </c>
      <c r="BP9">
        <v>0.75319999999999998</v>
      </c>
      <c r="BQ9">
        <v>0.74570000000000003</v>
      </c>
      <c r="BR9">
        <v>0.73809999999999998</v>
      </c>
      <c r="BS9">
        <v>0.73019999999999996</v>
      </c>
      <c r="BT9">
        <v>0.72160000000000002</v>
      </c>
      <c r="BU9">
        <v>0.71240000000000003</v>
      </c>
      <c r="BV9">
        <v>0.70240000000000002</v>
      </c>
      <c r="BW9">
        <v>0.69179999999999997</v>
      </c>
      <c r="BX9">
        <v>0.68059999999999998</v>
      </c>
      <c r="BY9">
        <v>0.66859999999999997</v>
      </c>
      <c r="BZ9">
        <v>0.65600000000000003</v>
      </c>
      <c r="CA9">
        <v>0.64270000000000005</v>
      </c>
      <c r="CB9">
        <v>0.62880000000000003</v>
      </c>
      <c r="CC9">
        <v>0.61409999999999998</v>
      </c>
      <c r="CD9">
        <v>0.5988</v>
      </c>
      <c r="CE9">
        <v>0.58279999999999998</v>
      </c>
      <c r="CF9">
        <v>0.56620000000000004</v>
      </c>
      <c r="CG9">
        <v>0.54890000000000005</v>
      </c>
      <c r="CH9">
        <v>0.53090000000000004</v>
      </c>
      <c r="CI9">
        <v>0.51219999999999999</v>
      </c>
      <c r="CJ9">
        <v>0.49280000000000002</v>
      </c>
      <c r="CK9">
        <v>0.4728</v>
      </c>
      <c r="CL9">
        <v>0.4521</v>
      </c>
      <c r="CM9">
        <v>0.43080000000000002</v>
      </c>
      <c r="CN9">
        <v>0.40870000000000001</v>
      </c>
      <c r="CO9">
        <v>0.38600000000000001</v>
      </c>
      <c r="CP9">
        <v>0.36259999999999998</v>
      </c>
      <c r="CQ9">
        <v>0.33860000000000001</v>
      </c>
      <c r="CR9">
        <v>0.31390000000000001</v>
      </c>
      <c r="CS9">
        <v>0.28849999999999998</v>
      </c>
      <c r="CT9">
        <v>0.26240000000000002</v>
      </c>
      <c r="CU9">
        <v>0.2356</v>
      </c>
      <c r="CV9">
        <v>0.2082</v>
      </c>
    </row>
    <row r="10" spans="1:100" x14ac:dyDescent="0.2">
      <c r="A10" t="s">
        <v>7</v>
      </c>
      <c r="B10" t="s">
        <v>35</v>
      </c>
      <c r="C10">
        <v>15</v>
      </c>
      <c r="D10">
        <v>2435.9999999999995</v>
      </c>
      <c r="E10">
        <v>0.60560000000000003</v>
      </c>
      <c r="F10">
        <v>0.65959999999999996</v>
      </c>
      <c r="G10">
        <v>0.70960000000000001</v>
      </c>
      <c r="H10">
        <v>0.75560000000000005</v>
      </c>
      <c r="I10">
        <v>0.79759999999999998</v>
      </c>
      <c r="J10">
        <v>0.83560000000000001</v>
      </c>
      <c r="K10">
        <v>0.86960000000000004</v>
      </c>
      <c r="L10">
        <v>0.89959999999999996</v>
      </c>
      <c r="M10">
        <v>0.92559999999999998</v>
      </c>
      <c r="N10">
        <v>0.9476</v>
      </c>
      <c r="O10">
        <v>0.96560000000000001</v>
      </c>
      <c r="P10">
        <v>0.97960000000000003</v>
      </c>
      <c r="Q10">
        <v>0.99160000000000004</v>
      </c>
      <c r="R10">
        <v>0.99929999999999997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0.99939999999999996</v>
      </c>
      <c r="AG10">
        <v>0.998</v>
      </c>
      <c r="AH10">
        <v>0.99580000000000002</v>
      </c>
      <c r="AI10">
        <v>0.9929</v>
      </c>
      <c r="AJ10">
        <v>0.98919999999999997</v>
      </c>
      <c r="AK10">
        <v>0.98480000000000001</v>
      </c>
      <c r="AL10">
        <v>0.97960000000000003</v>
      </c>
      <c r="AM10">
        <v>0.97360000000000002</v>
      </c>
      <c r="AN10">
        <v>0.96689999999999998</v>
      </c>
      <c r="AO10">
        <v>0.95940000000000003</v>
      </c>
      <c r="AP10">
        <v>0.95169999999999999</v>
      </c>
      <c r="AQ10">
        <v>0.94410000000000005</v>
      </c>
      <c r="AR10">
        <v>0.93640000000000001</v>
      </c>
      <c r="AS10">
        <v>0.92879999999999996</v>
      </c>
      <c r="AT10">
        <v>0.92110000000000003</v>
      </c>
      <c r="AU10">
        <v>0.91349999999999998</v>
      </c>
      <c r="AV10">
        <v>0.90580000000000005</v>
      </c>
      <c r="AW10">
        <v>0.8982</v>
      </c>
      <c r="AX10">
        <v>0.89049999999999996</v>
      </c>
      <c r="AY10">
        <v>0.88290000000000002</v>
      </c>
      <c r="AZ10">
        <v>0.87519999999999998</v>
      </c>
      <c r="BA10">
        <v>0.86760000000000004</v>
      </c>
      <c r="BB10">
        <v>0.8599</v>
      </c>
      <c r="BC10">
        <v>0.85229999999999995</v>
      </c>
      <c r="BD10">
        <v>0.84460000000000002</v>
      </c>
      <c r="BE10">
        <v>0.83699999999999997</v>
      </c>
      <c r="BF10">
        <v>0.82930000000000004</v>
      </c>
      <c r="BG10">
        <v>0.82169999999999999</v>
      </c>
      <c r="BH10">
        <v>0.81399999999999995</v>
      </c>
      <c r="BI10">
        <v>0.80630000000000002</v>
      </c>
      <c r="BJ10">
        <v>0.79869999999999997</v>
      </c>
      <c r="BK10">
        <v>0.79100000000000004</v>
      </c>
      <c r="BL10">
        <v>0.78339999999999999</v>
      </c>
      <c r="BM10">
        <v>0.77569999999999995</v>
      </c>
      <c r="BN10">
        <v>0.7681</v>
      </c>
      <c r="BO10">
        <v>0.76039999999999996</v>
      </c>
      <c r="BP10">
        <v>0.75280000000000002</v>
      </c>
      <c r="BQ10">
        <v>0.74509999999999998</v>
      </c>
      <c r="BR10">
        <v>0.73750000000000004</v>
      </c>
      <c r="BS10">
        <v>0.72950000000000004</v>
      </c>
      <c r="BT10">
        <v>0.7208</v>
      </c>
      <c r="BU10">
        <v>0.71150000000000002</v>
      </c>
      <c r="BV10">
        <v>0.70150000000000001</v>
      </c>
      <c r="BW10">
        <v>0.69079999999999997</v>
      </c>
      <c r="BX10">
        <v>0.6794</v>
      </c>
      <c r="BY10">
        <v>0.6673</v>
      </c>
      <c r="BZ10">
        <v>0.65459999999999996</v>
      </c>
      <c r="CA10">
        <v>0.64119999999999999</v>
      </c>
      <c r="CB10">
        <v>0.62709999999999999</v>
      </c>
      <c r="CC10">
        <v>0.61240000000000006</v>
      </c>
      <c r="CD10">
        <v>0.59689999999999999</v>
      </c>
      <c r="CE10">
        <v>0.58079999999999998</v>
      </c>
      <c r="CF10">
        <v>0.56410000000000005</v>
      </c>
      <c r="CG10">
        <v>0.54659999999999997</v>
      </c>
      <c r="CH10">
        <v>0.52849999999999997</v>
      </c>
      <c r="CI10">
        <v>0.50960000000000005</v>
      </c>
      <c r="CJ10">
        <v>0.49009999999999998</v>
      </c>
      <c r="CK10">
        <v>0.47</v>
      </c>
      <c r="CL10">
        <v>0.4491</v>
      </c>
      <c r="CM10">
        <v>0.42759999999999998</v>
      </c>
      <c r="CN10">
        <v>0.40539999999999998</v>
      </c>
      <c r="CO10">
        <v>0.38250000000000001</v>
      </c>
      <c r="CP10">
        <v>0.35899999999999999</v>
      </c>
      <c r="CQ10">
        <v>0.33479999999999999</v>
      </c>
      <c r="CR10">
        <v>0.30990000000000001</v>
      </c>
      <c r="CS10">
        <v>0.2843</v>
      </c>
      <c r="CT10">
        <v>0.25800000000000001</v>
      </c>
      <c r="CU10">
        <v>0.2311</v>
      </c>
      <c r="CV10">
        <v>0.20349999999999999</v>
      </c>
    </row>
    <row r="11" spans="1:100" x14ac:dyDescent="0.2">
      <c r="A11" t="s">
        <v>8</v>
      </c>
      <c r="B11" t="s">
        <v>36</v>
      </c>
      <c r="C11">
        <v>16.093440000000001</v>
      </c>
      <c r="D11">
        <v>2625</v>
      </c>
      <c r="E11">
        <v>0.60560000000000003</v>
      </c>
      <c r="F11">
        <v>0.65959999999999996</v>
      </c>
      <c r="G11">
        <v>0.70960000000000001</v>
      </c>
      <c r="H11">
        <v>0.75560000000000005</v>
      </c>
      <c r="I11">
        <v>0.79759999999999998</v>
      </c>
      <c r="J11">
        <v>0.83560000000000001</v>
      </c>
      <c r="K11">
        <v>0.86960000000000004</v>
      </c>
      <c r="L11">
        <v>0.89959999999999996</v>
      </c>
      <c r="M11">
        <v>0.92559999999999998</v>
      </c>
      <c r="N11">
        <v>0.9476</v>
      </c>
      <c r="O11">
        <v>0.96560000000000001</v>
      </c>
      <c r="P11">
        <v>0.97960000000000003</v>
      </c>
      <c r="Q11">
        <v>0.99160000000000004</v>
      </c>
      <c r="R11">
        <v>0.99929999999999997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0.99950000000000006</v>
      </c>
      <c r="AG11">
        <v>0.99819999999999998</v>
      </c>
      <c r="AH11">
        <v>0.99609999999999999</v>
      </c>
      <c r="AI11">
        <v>0.99329999999999996</v>
      </c>
      <c r="AJ11">
        <v>0.98960000000000004</v>
      </c>
      <c r="AK11">
        <v>0.98529999999999995</v>
      </c>
      <c r="AL11">
        <v>0.98009999999999997</v>
      </c>
      <c r="AM11">
        <v>0.97419999999999995</v>
      </c>
      <c r="AN11">
        <v>0.96740000000000004</v>
      </c>
      <c r="AO11">
        <v>0.96</v>
      </c>
      <c r="AP11">
        <v>0.95230000000000004</v>
      </c>
      <c r="AQ11">
        <v>0.9446</v>
      </c>
      <c r="AR11">
        <v>0.93689999999999996</v>
      </c>
      <c r="AS11">
        <v>0.92930000000000001</v>
      </c>
      <c r="AT11">
        <v>0.92159999999999997</v>
      </c>
      <c r="AU11">
        <v>0.91390000000000005</v>
      </c>
      <c r="AV11">
        <v>0.90620000000000001</v>
      </c>
      <c r="AW11">
        <v>0.89849999999999997</v>
      </c>
      <c r="AX11">
        <v>0.89090000000000003</v>
      </c>
      <c r="AY11">
        <v>0.88319999999999999</v>
      </c>
      <c r="AZ11">
        <v>0.87549999999999994</v>
      </c>
      <c r="BA11">
        <v>0.86780000000000002</v>
      </c>
      <c r="BB11">
        <v>0.86019999999999996</v>
      </c>
      <c r="BC11">
        <v>0.85250000000000004</v>
      </c>
      <c r="BD11">
        <v>0.8448</v>
      </c>
      <c r="BE11">
        <v>0.83709999999999996</v>
      </c>
      <c r="BF11">
        <v>0.82940000000000003</v>
      </c>
      <c r="BG11">
        <v>0.82179999999999997</v>
      </c>
      <c r="BH11">
        <v>0.81410000000000005</v>
      </c>
      <c r="BI11">
        <v>0.80640000000000001</v>
      </c>
      <c r="BJ11">
        <v>0.79869999999999997</v>
      </c>
      <c r="BK11">
        <v>0.79100000000000004</v>
      </c>
      <c r="BL11">
        <v>0.78339999999999999</v>
      </c>
      <c r="BM11">
        <v>0.77569999999999995</v>
      </c>
      <c r="BN11">
        <v>0.76800000000000002</v>
      </c>
      <c r="BO11">
        <v>0.76029999999999998</v>
      </c>
      <c r="BP11">
        <v>0.75270000000000004</v>
      </c>
      <c r="BQ11">
        <v>0.745</v>
      </c>
      <c r="BR11">
        <v>0.73729999999999996</v>
      </c>
      <c r="BS11">
        <v>0.72929999999999995</v>
      </c>
      <c r="BT11">
        <v>0.72060000000000002</v>
      </c>
      <c r="BU11">
        <v>0.71120000000000005</v>
      </c>
      <c r="BV11">
        <v>0.70120000000000005</v>
      </c>
      <c r="BW11">
        <v>0.69040000000000001</v>
      </c>
      <c r="BX11">
        <v>0.67900000000000005</v>
      </c>
      <c r="BY11">
        <v>0.66690000000000005</v>
      </c>
      <c r="BZ11">
        <v>0.6542</v>
      </c>
      <c r="CA11">
        <v>0.64070000000000005</v>
      </c>
      <c r="CB11">
        <v>0.62660000000000005</v>
      </c>
      <c r="CC11">
        <v>0.61180000000000001</v>
      </c>
      <c r="CD11">
        <v>0.59640000000000004</v>
      </c>
      <c r="CE11">
        <v>0.58020000000000005</v>
      </c>
      <c r="CF11">
        <v>0.56340000000000001</v>
      </c>
      <c r="CG11">
        <v>0.54590000000000005</v>
      </c>
      <c r="CH11">
        <v>0.52769999999999995</v>
      </c>
      <c r="CI11">
        <v>0.50880000000000003</v>
      </c>
      <c r="CJ11">
        <v>0.48930000000000001</v>
      </c>
      <c r="CK11">
        <v>0.46910000000000002</v>
      </c>
      <c r="CL11">
        <v>0.44819999999999999</v>
      </c>
      <c r="CM11">
        <v>0.42659999999999998</v>
      </c>
      <c r="CN11">
        <v>0.40439999999999998</v>
      </c>
      <c r="CO11">
        <v>0.38150000000000001</v>
      </c>
      <c r="CP11">
        <v>0.3579</v>
      </c>
      <c r="CQ11">
        <v>0.33360000000000001</v>
      </c>
      <c r="CR11">
        <v>0.30859999999999999</v>
      </c>
      <c r="CS11">
        <v>0.28299999999999997</v>
      </c>
      <c r="CT11">
        <v>0.25669999999999998</v>
      </c>
      <c r="CU11">
        <v>0.22969999999999999</v>
      </c>
      <c r="CV11">
        <v>0.20200000000000001</v>
      </c>
    </row>
    <row r="12" spans="1:100" x14ac:dyDescent="0.2">
      <c r="A12" t="s">
        <v>9</v>
      </c>
      <c r="B12" t="s">
        <v>37</v>
      </c>
      <c r="C12">
        <v>20</v>
      </c>
      <c r="D12">
        <v>3297.9999999999995</v>
      </c>
      <c r="E12">
        <v>0.60560000000000003</v>
      </c>
      <c r="F12">
        <v>0.65959999999999996</v>
      </c>
      <c r="G12">
        <v>0.70960000000000001</v>
      </c>
      <c r="H12">
        <v>0.75560000000000005</v>
      </c>
      <c r="I12">
        <v>0.79759999999999998</v>
      </c>
      <c r="J12">
        <v>0.83560000000000001</v>
      </c>
      <c r="K12">
        <v>0.86960000000000004</v>
      </c>
      <c r="L12">
        <v>0.89959999999999996</v>
      </c>
      <c r="M12">
        <v>0.92559999999999998</v>
      </c>
      <c r="N12">
        <v>0.9476</v>
      </c>
      <c r="O12">
        <v>0.96560000000000001</v>
      </c>
      <c r="P12">
        <v>0.97960000000000003</v>
      </c>
      <c r="Q12">
        <v>0.99160000000000004</v>
      </c>
      <c r="R12">
        <v>0.99929999999999997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0.99970000000000003</v>
      </c>
      <c r="AG12">
        <v>0.99870000000000003</v>
      </c>
      <c r="AH12">
        <v>0.99690000000000001</v>
      </c>
      <c r="AI12">
        <v>0.99429999999999996</v>
      </c>
      <c r="AJ12">
        <v>0.9909</v>
      </c>
      <c r="AK12">
        <v>0.98660000000000003</v>
      </c>
      <c r="AL12">
        <v>0.98160000000000003</v>
      </c>
      <c r="AM12">
        <v>0.9758</v>
      </c>
      <c r="AN12">
        <v>0.96919999999999995</v>
      </c>
      <c r="AO12">
        <v>0.96179999999999999</v>
      </c>
      <c r="AP12">
        <v>0.95399999999999996</v>
      </c>
      <c r="AQ12">
        <v>0.94630000000000003</v>
      </c>
      <c r="AR12">
        <v>0.9385</v>
      </c>
      <c r="AS12">
        <v>0.93079999999999996</v>
      </c>
      <c r="AT12">
        <v>0.92300000000000004</v>
      </c>
      <c r="AU12">
        <v>0.91520000000000001</v>
      </c>
      <c r="AV12">
        <v>0.90749999999999997</v>
      </c>
      <c r="AW12">
        <v>0.89970000000000006</v>
      </c>
      <c r="AX12">
        <v>0.89200000000000002</v>
      </c>
      <c r="AY12">
        <v>0.88419999999999999</v>
      </c>
      <c r="AZ12">
        <v>0.87639999999999996</v>
      </c>
      <c r="BA12">
        <v>0.86870000000000003</v>
      </c>
      <c r="BB12">
        <v>0.8609</v>
      </c>
      <c r="BC12">
        <v>0.85319999999999996</v>
      </c>
      <c r="BD12">
        <v>0.84540000000000004</v>
      </c>
      <c r="BE12">
        <v>0.83760000000000001</v>
      </c>
      <c r="BF12">
        <v>0.82989999999999997</v>
      </c>
      <c r="BG12">
        <v>0.82210000000000005</v>
      </c>
      <c r="BH12">
        <v>0.81440000000000001</v>
      </c>
      <c r="BI12">
        <v>0.80659999999999998</v>
      </c>
      <c r="BJ12">
        <v>0.79879999999999995</v>
      </c>
      <c r="BK12">
        <v>0.79110000000000003</v>
      </c>
      <c r="BL12">
        <v>0.7833</v>
      </c>
      <c r="BM12">
        <v>0.77559999999999996</v>
      </c>
      <c r="BN12">
        <v>0.76780000000000004</v>
      </c>
      <c r="BO12">
        <v>0.76</v>
      </c>
      <c r="BP12">
        <v>0.75229999999999997</v>
      </c>
      <c r="BQ12">
        <v>0.74450000000000005</v>
      </c>
      <c r="BR12">
        <v>0.73680000000000001</v>
      </c>
      <c r="BS12">
        <v>0.72870000000000001</v>
      </c>
      <c r="BT12">
        <v>0.71989999999999998</v>
      </c>
      <c r="BU12">
        <v>0.71040000000000003</v>
      </c>
      <c r="BV12">
        <v>0.70030000000000003</v>
      </c>
      <c r="BW12">
        <v>0.6895</v>
      </c>
      <c r="BX12">
        <v>0.67789999999999995</v>
      </c>
      <c r="BY12">
        <v>0.66579999999999995</v>
      </c>
      <c r="BZ12">
        <v>0.65290000000000004</v>
      </c>
      <c r="CA12">
        <v>0.63929999999999998</v>
      </c>
      <c r="CB12">
        <v>0.62509999999999999</v>
      </c>
      <c r="CC12">
        <v>0.61019999999999996</v>
      </c>
      <c r="CD12">
        <v>0.59460000000000002</v>
      </c>
      <c r="CE12">
        <v>0.57830000000000004</v>
      </c>
      <c r="CF12">
        <v>0.56140000000000001</v>
      </c>
      <c r="CG12">
        <v>0.54369999999999996</v>
      </c>
      <c r="CH12">
        <v>0.52539999999999998</v>
      </c>
      <c r="CI12">
        <v>0.50639999999999996</v>
      </c>
      <c r="CJ12">
        <v>0.48670000000000002</v>
      </c>
      <c r="CK12">
        <v>0.46639999999999998</v>
      </c>
      <c r="CL12">
        <v>0.44529999999999997</v>
      </c>
      <c r="CM12">
        <v>0.42359999999999998</v>
      </c>
      <c r="CN12">
        <v>0.4012</v>
      </c>
      <c r="CO12">
        <v>0.37809999999999999</v>
      </c>
      <c r="CP12">
        <v>0.35439999999999999</v>
      </c>
      <c r="CQ12">
        <v>0.32990000000000003</v>
      </c>
      <c r="CR12">
        <v>0.30480000000000002</v>
      </c>
      <c r="CS12">
        <v>0.27900000000000003</v>
      </c>
      <c r="CT12">
        <v>0.2525</v>
      </c>
      <c r="CU12">
        <v>0.2253</v>
      </c>
      <c r="CV12">
        <v>0.19750000000000001</v>
      </c>
    </row>
    <row r="13" spans="1:100" x14ac:dyDescent="0.2">
      <c r="A13" t="s">
        <v>49</v>
      </c>
      <c r="B13" t="s">
        <v>21</v>
      </c>
      <c r="C13">
        <v>21.0975</v>
      </c>
      <c r="D13">
        <v>3480.9999999999995</v>
      </c>
      <c r="E13">
        <v>0.60560000000000003</v>
      </c>
      <c r="F13">
        <v>0.65959999999999996</v>
      </c>
      <c r="G13">
        <v>0.70960000000000001</v>
      </c>
      <c r="H13">
        <v>0.75560000000000005</v>
      </c>
      <c r="I13">
        <v>0.79759999999999998</v>
      </c>
      <c r="J13">
        <v>0.83560000000000001</v>
      </c>
      <c r="K13">
        <v>0.86960000000000004</v>
      </c>
      <c r="L13">
        <v>0.89959999999999996</v>
      </c>
      <c r="M13">
        <v>0.92559999999999998</v>
      </c>
      <c r="N13">
        <v>0.9476</v>
      </c>
      <c r="O13">
        <v>0.96560000000000001</v>
      </c>
      <c r="P13">
        <v>0.97960000000000003</v>
      </c>
      <c r="Q13">
        <v>0.99160000000000004</v>
      </c>
      <c r="R13">
        <v>0.99929999999999997</v>
      </c>
      <c r="S13">
        <v>1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0.99980000000000002</v>
      </c>
      <c r="AG13">
        <v>0.99880000000000002</v>
      </c>
      <c r="AH13">
        <v>0.99709999999999999</v>
      </c>
      <c r="AI13">
        <v>0.99450000000000005</v>
      </c>
      <c r="AJ13">
        <v>0.99109999999999998</v>
      </c>
      <c r="AK13">
        <v>0.98699999999999999</v>
      </c>
      <c r="AL13">
        <v>0.98199999999999998</v>
      </c>
      <c r="AM13">
        <v>0.97619999999999996</v>
      </c>
      <c r="AN13">
        <v>0.96960000000000002</v>
      </c>
      <c r="AO13">
        <v>0.96230000000000004</v>
      </c>
      <c r="AP13">
        <v>0.95450000000000002</v>
      </c>
      <c r="AQ13">
        <v>0.94669999999999999</v>
      </c>
      <c r="AR13">
        <v>0.93889999999999996</v>
      </c>
      <c r="AS13">
        <v>0.93110000000000004</v>
      </c>
      <c r="AT13">
        <v>0.9234</v>
      </c>
      <c r="AU13">
        <v>0.91559999999999997</v>
      </c>
      <c r="AV13">
        <v>0.90780000000000005</v>
      </c>
      <c r="AW13">
        <v>0.9</v>
      </c>
      <c r="AX13">
        <v>0.89219999999999999</v>
      </c>
      <c r="AY13">
        <v>0.88449999999999995</v>
      </c>
      <c r="AZ13">
        <v>0.87670000000000003</v>
      </c>
      <c r="BA13">
        <v>0.86890000000000001</v>
      </c>
      <c r="BB13">
        <v>0.86109999999999998</v>
      </c>
      <c r="BC13">
        <v>0.85329999999999995</v>
      </c>
      <c r="BD13">
        <v>0.84560000000000002</v>
      </c>
      <c r="BE13">
        <v>0.83779999999999999</v>
      </c>
      <c r="BF13">
        <v>0.83</v>
      </c>
      <c r="BG13">
        <v>0.82220000000000004</v>
      </c>
      <c r="BH13">
        <v>0.81440000000000001</v>
      </c>
      <c r="BI13">
        <v>0.80669999999999997</v>
      </c>
      <c r="BJ13">
        <v>0.79890000000000005</v>
      </c>
      <c r="BK13">
        <v>0.79110000000000003</v>
      </c>
      <c r="BL13">
        <v>0.7833</v>
      </c>
      <c r="BM13">
        <v>0.77549999999999997</v>
      </c>
      <c r="BN13">
        <v>0.76780000000000004</v>
      </c>
      <c r="BO13">
        <v>0.76</v>
      </c>
      <c r="BP13">
        <v>0.75219999999999998</v>
      </c>
      <c r="BQ13">
        <v>0.74439999999999995</v>
      </c>
      <c r="BR13">
        <v>0.73660000000000003</v>
      </c>
      <c r="BS13">
        <v>0.72850000000000004</v>
      </c>
      <c r="BT13">
        <v>0.71970000000000001</v>
      </c>
      <c r="BU13">
        <v>0.71020000000000005</v>
      </c>
      <c r="BV13">
        <v>0.70009999999999994</v>
      </c>
      <c r="BW13">
        <v>0.68920000000000003</v>
      </c>
      <c r="BX13">
        <v>0.67769999999999997</v>
      </c>
      <c r="BY13">
        <v>0.66549999999999998</v>
      </c>
      <c r="BZ13">
        <v>0.65259999999999996</v>
      </c>
      <c r="CA13">
        <v>0.63900000000000001</v>
      </c>
      <c r="CB13">
        <v>0.62470000000000003</v>
      </c>
      <c r="CC13">
        <v>0.60980000000000001</v>
      </c>
      <c r="CD13">
        <v>0.59419999999999995</v>
      </c>
      <c r="CE13">
        <v>0.57789999999999997</v>
      </c>
      <c r="CF13">
        <v>0.56089999999999995</v>
      </c>
      <c r="CG13">
        <v>0.54320000000000002</v>
      </c>
      <c r="CH13">
        <v>0.52490000000000003</v>
      </c>
      <c r="CI13">
        <v>0.50580000000000003</v>
      </c>
      <c r="CJ13">
        <v>0.48609999999999998</v>
      </c>
      <c r="CK13">
        <v>0.4657</v>
      </c>
      <c r="CL13">
        <v>0.4446</v>
      </c>
      <c r="CM13">
        <v>0.4229</v>
      </c>
      <c r="CN13">
        <v>0.40039999999999998</v>
      </c>
      <c r="CO13">
        <v>0.37730000000000002</v>
      </c>
      <c r="CP13">
        <v>0.35349999999999998</v>
      </c>
      <c r="CQ13">
        <v>0.32900000000000001</v>
      </c>
      <c r="CR13">
        <v>0.3039</v>
      </c>
      <c r="CS13">
        <v>0.27800000000000002</v>
      </c>
      <c r="CT13">
        <v>0.2515</v>
      </c>
      <c r="CU13">
        <v>0.22420000000000001</v>
      </c>
      <c r="CV13">
        <v>0.1963</v>
      </c>
    </row>
    <row r="14" spans="1:100" x14ac:dyDescent="0.2">
      <c r="A14" t="s">
        <v>10</v>
      </c>
      <c r="B14" t="s">
        <v>38</v>
      </c>
      <c r="C14">
        <v>25</v>
      </c>
      <c r="D14">
        <v>4170</v>
      </c>
      <c r="E14">
        <v>0.60560000000000003</v>
      </c>
      <c r="F14">
        <v>0.65959999999999996</v>
      </c>
      <c r="G14">
        <v>0.70960000000000001</v>
      </c>
      <c r="H14">
        <v>0.75560000000000005</v>
      </c>
      <c r="I14">
        <v>0.79759999999999998</v>
      </c>
      <c r="J14">
        <v>0.83560000000000001</v>
      </c>
      <c r="K14">
        <v>0.86960000000000004</v>
      </c>
      <c r="L14">
        <v>0.89959999999999996</v>
      </c>
      <c r="M14">
        <v>0.92559999999999998</v>
      </c>
      <c r="N14">
        <v>0.9476</v>
      </c>
      <c r="O14">
        <v>0.96560000000000001</v>
      </c>
      <c r="P14">
        <v>0.97960000000000003</v>
      </c>
      <c r="Q14">
        <v>0.99160000000000004</v>
      </c>
      <c r="R14">
        <v>0.99929999999999997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0.99980000000000002</v>
      </c>
      <c r="AG14">
        <v>0.99880000000000002</v>
      </c>
      <c r="AH14">
        <v>0.99709999999999999</v>
      </c>
      <c r="AI14">
        <v>0.99450000000000005</v>
      </c>
      <c r="AJ14">
        <v>0.99109999999999998</v>
      </c>
      <c r="AK14">
        <v>0.98699999999999999</v>
      </c>
      <c r="AL14">
        <v>0.98199999999999998</v>
      </c>
      <c r="AM14">
        <v>0.97619999999999996</v>
      </c>
      <c r="AN14">
        <v>0.96960000000000002</v>
      </c>
      <c r="AO14">
        <v>0.96230000000000004</v>
      </c>
      <c r="AP14">
        <v>0.95450000000000002</v>
      </c>
      <c r="AQ14">
        <v>0.94669999999999999</v>
      </c>
      <c r="AR14">
        <v>0.93889999999999996</v>
      </c>
      <c r="AS14">
        <v>0.93110000000000004</v>
      </c>
      <c r="AT14">
        <v>0.9234</v>
      </c>
      <c r="AU14">
        <v>0.91559999999999997</v>
      </c>
      <c r="AV14">
        <v>0.90780000000000005</v>
      </c>
      <c r="AW14">
        <v>0.9</v>
      </c>
      <c r="AX14">
        <v>0.89219999999999999</v>
      </c>
      <c r="AY14">
        <v>0.88449999999999995</v>
      </c>
      <c r="AZ14">
        <v>0.87670000000000003</v>
      </c>
      <c r="BA14">
        <v>0.86890000000000001</v>
      </c>
      <c r="BB14">
        <v>0.86109999999999998</v>
      </c>
      <c r="BC14">
        <v>0.85329999999999995</v>
      </c>
      <c r="BD14">
        <v>0.84560000000000002</v>
      </c>
      <c r="BE14">
        <v>0.83779999999999999</v>
      </c>
      <c r="BF14">
        <v>0.83</v>
      </c>
      <c r="BG14">
        <v>0.82220000000000004</v>
      </c>
      <c r="BH14">
        <v>0.81440000000000001</v>
      </c>
      <c r="BI14">
        <v>0.80669999999999997</v>
      </c>
      <c r="BJ14">
        <v>0.79890000000000005</v>
      </c>
      <c r="BK14">
        <v>0.79110000000000003</v>
      </c>
      <c r="BL14">
        <v>0.7833</v>
      </c>
      <c r="BM14">
        <v>0.77549999999999997</v>
      </c>
      <c r="BN14">
        <v>0.76780000000000004</v>
      </c>
      <c r="BO14">
        <v>0.76</v>
      </c>
      <c r="BP14">
        <v>0.75219999999999998</v>
      </c>
      <c r="BQ14">
        <v>0.74439999999999995</v>
      </c>
      <c r="BR14">
        <v>0.73660000000000003</v>
      </c>
      <c r="BS14">
        <v>0.72850000000000004</v>
      </c>
      <c r="BT14">
        <v>0.71970000000000001</v>
      </c>
      <c r="BU14">
        <v>0.71020000000000005</v>
      </c>
      <c r="BV14">
        <v>0.69989999999999997</v>
      </c>
      <c r="BW14">
        <v>0.68899999999999995</v>
      </c>
      <c r="BX14">
        <v>0.6774</v>
      </c>
      <c r="BY14">
        <v>0.66500000000000004</v>
      </c>
      <c r="BZ14">
        <v>0.65200000000000002</v>
      </c>
      <c r="CA14">
        <v>0.63829999999999998</v>
      </c>
      <c r="CB14">
        <v>0.62380000000000002</v>
      </c>
      <c r="CC14">
        <v>0.60870000000000002</v>
      </c>
      <c r="CD14">
        <v>0.59289999999999998</v>
      </c>
      <c r="CE14">
        <v>0.57640000000000002</v>
      </c>
      <c r="CF14">
        <v>0.55910000000000004</v>
      </c>
      <c r="CG14">
        <v>0.54120000000000001</v>
      </c>
      <c r="CH14">
        <v>0.52259999999999995</v>
      </c>
      <c r="CI14">
        <v>0.50319999999999998</v>
      </c>
      <c r="CJ14">
        <v>0.48320000000000002</v>
      </c>
      <c r="CK14">
        <v>0.46250000000000002</v>
      </c>
      <c r="CL14">
        <v>0.441</v>
      </c>
      <c r="CM14">
        <v>0.41889999999999999</v>
      </c>
      <c r="CN14">
        <v>0.39610000000000001</v>
      </c>
      <c r="CO14">
        <v>0.37259999999999999</v>
      </c>
      <c r="CP14">
        <v>0.3483</v>
      </c>
      <c r="CQ14">
        <v>0.32340000000000002</v>
      </c>
      <c r="CR14">
        <v>0.29780000000000001</v>
      </c>
      <c r="CS14">
        <v>0.27139999999999997</v>
      </c>
      <c r="CT14">
        <v>0.24440000000000001</v>
      </c>
      <c r="CU14">
        <v>0.2167</v>
      </c>
      <c r="CV14">
        <v>0.18820000000000001</v>
      </c>
    </row>
    <row r="15" spans="1:100" x14ac:dyDescent="0.2">
      <c r="A15" t="s">
        <v>11</v>
      </c>
      <c r="B15" t="s">
        <v>39</v>
      </c>
      <c r="C15">
        <v>30</v>
      </c>
      <c r="D15">
        <v>5069.9999999999991</v>
      </c>
      <c r="E15">
        <v>0.60560000000000003</v>
      </c>
      <c r="F15">
        <v>0.65959999999999996</v>
      </c>
      <c r="G15">
        <v>0.70960000000000001</v>
      </c>
      <c r="H15">
        <v>0.75560000000000005</v>
      </c>
      <c r="I15">
        <v>0.79759999999999998</v>
      </c>
      <c r="J15">
        <v>0.83560000000000001</v>
      </c>
      <c r="K15">
        <v>0.86960000000000004</v>
      </c>
      <c r="L15">
        <v>0.89959999999999996</v>
      </c>
      <c r="M15">
        <v>0.92559999999999998</v>
      </c>
      <c r="N15">
        <v>0.9476</v>
      </c>
      <c r="O15">
        <v>0.96560000000000001</v>
      </c>
      <c r="P15">
        <v>0.97960000000000003</v>
      </c>
      <c r="Q15">
        <v>0.99160000000000004</v>
      </c>
      <c r="R15">
        <v>0.99929999999999997</v>
      </c>
      <c r="S15">
        <v>1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0.99980000000000002</v>
      </c>
      <c r="AG15">
        <v>0.99880000000000002</v>
      </c>
      <c r="AH15">
        <v>0.99709999999999999</v>
      </c>
      <c r="AI15">
        <v>0.99450000000000005</v>
      </c>
      <c r="AJ15">
        <v>0.99109999999999998</v>
      </c>
      <c r="AK15">
        <v>0.98699999999999999</v>
      </c>
      <c r="AL15">
        <v>0.98199999999999998</v>
      </c>
      <c r="AM15">
        <v>0.97619999999999996</v>
      </c>
      <c r="AN15">
        <v>0.96960000000000002</v>
      </c>
      <c r="AO15">
        <v>0.96230000000000004</v>
      </c>
      <c r="AP15">
        <v>0.95450000000000002</v>
      </c>
      <c r="AQ15">
        <v>0.94669999999999999</v>
      </c>
      <c r="AR15">
        <v>0.93889999999999996</v>
      </c>
      <c r="AS15">
        <v>0.93110000000000004</v>
      </c>
      <c r="AT15">
        <v>0.9234</v>
      </c>
      <c r="AU15">
        <v>0.91559999999999997</v>
      </c>
      <c r="AV15">
        <v>0.90780000000000005</v>
      </c>
      <c r="AW15">
        <v>0.9</v>
      </c>
      <c r="AX15">
        <v>0.89219999999999999</v>
      </c>
      <c r="AY15">
        <v>0.88449999999999995</v>
      </c>
      <c r="AZ15">
        <v>0.87670000000000003</v>
      </c>
      <c r="BA15">
        <v>0.86890000000000001</v>
      </c>
      <c r="BB15">
        <v>0.86109999999999998</v>
      </c>
      <c r="BC15">
        <v>0.85329999999999995</v>
      </c>
      <c r="BD15">
        <v>0.84560000000000002</v>
      </c>
      <c r="BE15">
        <v>0.83779999999999999</v>
      </c>
      <c r="BF15">
        <v>0.83</v>
      </c>
      <c r="BG15">
        <v>0.82220000000000004</v>
      </c>
      <c r="BH15">
        <v>0.81440000000000001</v>
      </c>
      <c r="BI15">
        <v>0.80669999999999997</v>
      </c>
      <c r="BJ15">
        <v>0.79890000000000005</v>
      </c>
      <c r="BK15">
        <v>0.79110000000000003</v>
      </c>
      <c r="BL15">
        <v>0.7833</v>
      </c>
      <c r="BM15">
        <v>0.77549999999999997</v>
      </c>
      <c r="BN15">
        <v>0.76780000000000004</v>
      </c>
      <c r="BO15">
        <v>0.76</v>
      </c>
      <c r="BP15">
        <v>0.75219999999999998</v>
      </c>
      <c r="BQ15">
        <v>0.74439999999999995</v>
      </c>
      <c r="BR15">
        <v>0.73660000000000003</v>
      </c>
      <c r="BS15">
        <v>0.72850000000000004</v>
      </c>
      <c r="BT15">
        <v>0.71970000000000001</v>
      </c>
      <c r="BU15">
        <v>0.71020000000000005</v>
      </c>
      <c r="BV15">
        <v>0.69989999999999997</v>
      </c>
      <c r="BW15">
        <v>0.68899999999999995</v>
      </c>
      <c r="BX15">
        <v>0.6774</v>
      </c>
      <c r="BY15">
        <v>0.66500000000000004</v>
      </c>
      <c r="BZ15">
        <v>0.65200000000000002</v>
      </c>
      <c r="CA15">
        <v>0.63829999999999998</v>
      </c>
      <c r="CB15">
        <v>0.62380000000000002</v>
      </c>
      <c r="CC15">
        <v>0.60870000000000002</v>
      </c>
      <c r="CD15">
        <v>0.59289999999999998</v>
      </c>
      <c r="CE15">
        <v>0.57640000000000002</v>
      </c>
      <c r="CF15">
        <v>0.55910000000000004</v>
      </c>
      <c r="CG15">
        <v>0.54120000000000001</v>
      </c>
      <c r="CH15">
        <v>0.52259999999999995</v>
      </c>
      <c r="CI15">
        <v>0.50319999999999998</v>
      </c>
      <c r="CJ15">
        <v>0.48320000000000002</v>
      </c>
      <c r="CK15">
        <v>0.46250000000000002</v>
      </c>
      <c r="CL15">
        <v>0.441</v>
      </c>
      <c r="CM15">
        <v>0.41889999999999999</v>
      </c>
      <c r="CN15">
        <v>0.39610000000000001</v>
      </c>
      <c r="CO15">
        <v>0.37259999999999999</v>
      </c>
      <c r="CP15">
        <v>0.3483</v>
      </c>
      <c r="CQ15">
        <v>0.32340000000000002</v>
      </c>
      <c r="CR15">
        <v>0.29780000000000001</v>
      </c>
      <c r="CS15">
        <v>0.27139999999999997</v>
      </c>
      <c r="CT15">
        <v>0.24440000000000001</v>
      </c>
      <c r="CU15">
        <v>0.2167</v>
      </c>
      <c r="CV15">
        <v>0.18820000000000001</v>
      </c>
    </row>
    <row r="16" spans="1:100" x14ac:dyDescent="0.2">
      <c r="A16" t="s">
        <v>12</v>
      </c>
      <c r="B16" t="s">
        <v>40</v>
      </c>
      <c r="C16">
        <v>42.195</v>
      </c>
      <c r="D16">
        <v>7298.9999999999991</v>
      </c>
      <c r="E16">
        <v>0.60560000000000003</v>
      </c>
      <c r="F16">
        <v>0.65959999999999996</v>
      </c>
      <c r="G16">
        <v>0.70960000000000001</v>
      </c>
      <c r="H16">
        <v>0.75560000000000005</v>
      </c>
      <c r="I16">
        <v>0.79759999999999998</v>
      </c>
      <c r="J16">
        <v>0.83560000000000001</v>
      </c>
      <c r="K16">
        <v>0.86960000000000004</v>
      </c>
      <c r="L16">
        <v>0.89959999999999996</v>
      </c>
      <c r="M16">
        <v>0.92559999999999998</v>
      </c>
      <c r="N16">
        <v>0.9476</v>
      </c>
      <c r="O16">
        <v>0.96560000000000001</v>
      </c>
      <c r="P16">
        <v>0.97960000000000003</v>
      </c>
      <c r="Q16">
        <v>0.99160000000000004</v>
      </c>
      <c r="R16">
        <v>0.99929999999999997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0.99980000000000002</v>
      </c>
      <c r="AG16">
        <v>0.99880000000000002</v>
      </c>
      <c r="AH16">
        <v>0.99709999999999999</v>
      </c>
      <c r="AI16">
        <v>0.99450000000000005</v>
      </c>
      <c r="AJ16">
        <v>0.99109999999999998</v>
      </c>
      <c r="AK16">
        <v>0.98699999999999999</v>
      </c>
      <c r="AL16">
        <v>0.98199999999999998</v>
      </c>
      <c r="AM16">
        <v>0.97619999999999996</v>
      </c>
      <c r="AN16">
        <v>0.96960000000000002</v>
      </c>
      <c r="AO16">
        <v>0.96230000000000004</v>
      </c>
      <c r="AP16">
        <v>0.95450000000000002</v>
      </c>
      <c r="AQ16">
        <v>0.94669999999999999</v>
      </c>
      <c r="AR16">
        <v>0.93889999999999996</v>
      </c>
      <c r="AS16">
        <v>0.93110000000000004</v>
      </c>
      <c r="AT16">
        <v>0.9234</v>
      </c>
      <c r="AU16">
        <v>0.91559999999999997</v>
      </c>
      <c r="AV16">
        <v>0.90780000000000005</v>
      </c>
      <c r="AW16">
        <v>0.9</v>
      </c>
      <c r="AX16">
        <v>0.89219999999999999</v>
      </c>
      <c r="AY16">
        <v>0.88449999999999995</v>
      </c>
      <c r="AZ16">
        <v>0.87670000000000003</v>
      </c>
      <c r="BA16">
        <v>0.86890000000000001</v>
      </c>
      <c r="BB16">
        <v>0.86109999999999998</v>
      </c>
      <c r="BC16">
        <v>0.85329999999999995</v>
      </c>
      <c r="BD16">
        <v>0.84560000000000002</v>
      </c>
      <c r="BE16">
        <v>0.83779999999999999</v>
      </c>
      <c r="BF16">
        <v>0.83</v>
      </c>
      <c r="BG16">
        <v>0.82220000000000004</v>
      </c>
      <c r="BH16">
        <v>0.81440000000000001</v>
      </c>
      <c r="BI16">
        <v>0.80669999999999997</v>
      </c>
      <c r="BJ16">
        <v>0.79890000000000005</v>
      </c>
      <c r="BK16">
        <v>0.79110000000000003</v>
      </c>
      <c r="BL16">
        <v>0.7833</v>
      </c>
      <c r="BM16">
        <v>0.77549999999999997</v>
      </c>
      <c r="BN16">
        <v>0.76780000000000004</v>
      </c>
      <c r="BO16">
        <v>0.76</v>
      </c>
      <c r="BP16">
        <v>0.75219999999999998</v>
      </c>
      <c r="BQ16">
        <v>0.74439999999999995</v>
      </c>
      <c r="BR16">
        <v>0.73660000000000003</v>
      </c>
      <c r="BS16">
        <v>0.72860000000000003</v>
      </c>
      <c r="BT16">
        <v>0.7198</v>
      </c>
      <c r="BU16">
        <v>0.71040000000000003</v>
      </c>
      <c r="BV16">
        <v>0.70020000000000004</v>
      </c>
      <c r="BW16">
        <v>0.68930000000000002</v>
      </c>
      <c r="BX16">
        <v>0.67779999999999996</v>
      </c>
      <c r="BY16">
        <v>0.66549999999999998</v>
      </c>
      <c r="BZ16">
        <v>0.65259999999999996</v>
      </c>
      <c r="CA16">
        <v>0.63890000000000002</v>
      </c>
      <c r="CB16">
        <v>0.62450000000000006</v>
      </c>
      <c r="CC16">
        <v>0.60950000000000004</v>
      </c>
      <c r="CD16">
        <v>0.59370000000000001</v>
      </c>
      <c r="CE16">
        <v>0.57730000000000004</v>
      </c>
      <c r="CF16">
        <v>0.56010000000000004</v>
      </c>
      <c r="CG16">
        <v>0.54220000000000002</v>
      </c>
      <c r="CH16">
        <v>0.52370000000000005</v>
      </c>
      <c r="CI16">
        <v>0.50439999999999996</v>
      </c>
      <c r="CJ16">
        <v>0.48449999999999999</v>
      </c>
      <c r="CK16">
        <v>0.46379999999999999</v>
      </c>
      <c r="CL16">
        <v>0.44240000000000002</v>
      </c>
      <c r="CM16">
        <v>0.4204</v>
      </c>
      <c r="CN16">
        <v>0.39760000000000001</v>
      </c>
      <c r="CO16">
        <v>0.37419999999999998</v>
      </c>
      <c r="CP16">
        <v>0.35</v>
      </c>
      <c r="CQ16">
        <v>0.3251</v>
      </c>
      <c r="CR16">
        <v>0.29959999999999998</v>
      </c>
      <c r="CS16">
        <v>0.27329999999999999</v>
      </c>
      <c r="CT16">
        <v>0.24640000000000001</v>
      </c>
      <c r="CU16">
        <v>0.21870000000000001</v>
      </c>
      <c r="CV16">
        <v>0.1903</v>
      </c>
    </row>
    <row r="17" spans="1:100" x14ac:dyDescent="0.2">
      <c r="A17" t="s">
        <v>13</v>
      </c>
      <c r="B17" t="s">
        <v>41</v>
      </c>
      <c r="C17">
        <v>50</v>
      </c>
      <c r="D17">
        <v>8970</v>
      </c>
      <c r="E17">
        <v>0.60560000000000003</v>
      </c>
      <c r="F17">
        <v>0.65959999999999996</v>
      </c>
      <c r="G17">
        <v>0.70960000000000001</v>
      </c>
      <c r="H17">
        <v>0.75560000000000005</v>
      </c>
      <c r="I17">
        <v>0.79759999999999998</v>
      </c>
      <c r="J17">
        <v>0.83560000000000001</v>
      </c>
      <c r="K17">
        <v>0.86960000000000004</v>
      </c>
      <c r="L17">
        <v>0.89959999999999996</v>
      </c>
      <c r="M17">
        <v>0.92559999999999998</v>
      </c>
      <c r="N17">
        <v>0.9476</v>
      </c>
      <c r="O17">
        <v>0.96560000000000001</v>
      </c>
      <c r="P17">
        <v>0.97960000000000003</v>
      </c>
      <c r="Q17">
        <v>0.99160000000000004</v>
      </c>
      <c r="R17">
        <v>0.99929999999999997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0.99980000000000002</v>
      </c>
      <c r="AG17">
        <v>0.99880000000000002</v>
      </c>
      <c r="AH17">
        <v>0.99709999999999999</v>
      </c>
      <c r="AI17">
        <v>0.99450000000000005</v>
      </c>
      <c r="AJ17">
        <v>0.99109999999999998</v>
      </c>
      <c r="AK17">
        <v>0.98699999999999999</v>
      </c>
      <c r="AL17">
        <v>0.98199999999999998</v>
      </c>
      <c r="AM17">
        <v>0.97619999999999996</v>
      </c>
      <c r="AN17">
        <v>0.96960000000000002</v>
      </c>
      <c r="AO17">
        <v>0.96230000000000004</v>
      </c>
      <c r="AP17">
        <v>0.95450000000000002</v>
      </c>
      <c r="AQ17">
        <v>0.94669999999999999</v>
      </c>
      <c r="AR17">
        <v>0.93889999999999996</v>
      </c>
      <c r="AS17">
        <v>0.93110000000000004</v>
      </c>
      <c r="AT17">
        <v>0.9234</v>
      </c>
      <c r="AU17">
        <v>0.91559999999999997</v>
      </c>
      <c r="AV17">
        <v>0.90780000000000005</v>
      </c>
      <c r="AW17">
        <v>0.9</v>
      </c>
      <c r="AX17">
        <v>0.89219999999999999</v>
      </c>
      <c r="AY17">
        <v>0.88449999999999995</v>
      </c>
      <c r="AZ17">
        <v>0.87670000000000003</v>
      </c>
      <c r="BA17">
        <v>0.86890000000000001</v>
      </c>
      <c r="BB17">
        <v>0.86109999999999998</v>
      </c>
      <c r="BC17">
        <v>0.85329999999999995</v>
      </c>
      <c r="BD17">
        <v>0.84560000000000002</v>
      </c>
      <c r="BE17">
        <v>0.83779999999999999</v>
      </c>
      <c r="BF17">
        <v>0.83</v>
      </c>
      <c r="BG17">
        <v>0.82220000000000004</v>
      </c>
      <c r="BH17">
        <v>0.81440000000000001</v>
      </c>
      <c r="BI17">
        <v>0.80669999999999997</v>
      </c>
      <c r="BJ17">
        <v>0.79890000000000005</v>
      </c>
      <c r="BK17">
        <v>0.79110000000000003</v>
      </c>
      <c r="BL17">
        <v>0.7833</v>
      </c>
      <c r="BM17">
        <v>0.77549999999999997</v>
      </c>
      <c r="BN17">
        <v>0.76780000000000004</v>
      </c>
      <c r="BO17">
        <v>0.76</v>
      </c>
      <c r="BP17">
        <v>0.75219999999999998</v>
      </c>
      <c r="BQ17">
        <v>0.74439999999999995</v>
      </c>
      <c r="BR17">
        <v>0.73660000000000003</v>
      </c>
      <c r="BS17">
        <v>0.72860000000000003</v>
      </c>
      <c r="BT17">
        <v>0.7198</v>
      </c>
      <c r="BU17">
        <v>0.71040000000000003</v>
      </c>
      <c r="BV17">
        <v>0.70020000000000004</v>
      </c>
      <c r="BW17">
        <v>0.68930000000000002</v>
      </c>
      <c r="BX17">
        <v>0.67779999999999996</v>
      </c>
      <c r="BY17">
        <v>0.66549999999999998</v>
      </c>
      <c r="BZ17">
        <v>0.65259999999999996</v>
      </c>
      <c r="CA17">
        <v>0.63890000000000002</v>
      </c>
      <c r="CB17">
        <v>0.62450000000000006</v>
      </c>
      <c r="CC17">
        <v>0.60950000000000004</v>
      </c>
      <c r="CD17">
        <v>0.59370000000000001</v>
      </c>
      <c r="CE17">
        <v>0.57730000000000004</v>
      </c>
      <c r="CF17">
        <v>0.56010000000000004</v>
      </c>
      <c r="CG17">
        <v>0.54220000000000002</v>
      </c>
      <c r="CH17">
        <v>0.52370000000000005</v>
      </c>
      <c r="CI17">
        <v>0.50439999999999996</v>
      </c>
      <c r="CJ17">
        <v>0.48449999999999999</v>
      </c>
      <c r="CK17">
        <v>0.46379999999999999</v>
      </c>
      <c r="CL17">
        <v>0.44240000000000002</v>
      </c>
      <c r="CM17">
        <v>0.4204</v>
      </c>
      <c r="CN17">
        <v>0.39760000000000001</v>
      </c>
      <c r="CO17">
        <v>0.37419999999999998</v>
      </c>
      <c r="CP17">
        <v>0.35</v>
      </c>
      <c r="CQ17">
        <v>0.3251</v>
      </c>
      <c r="CR17">
        <v>0.29959999999999998</v>
      </c>
      <c r="CS17">
        <v>0.27329999999999999</v>
      </c>
      <c r="CT17">
        <v>0.24640000000000001</v>
      </c>
      <c r="CU17">
        <v>0.21870000000000001</v>
      </c>
      <c r="CV17">
        <v>0.1903</v>
      </c>
    </row>
    <row r="18" spans="1:100" x14ac:dyDescent="0.2">
      <c r="A18" t="s">
        <v>14</v>
      </c>
      <c r="B18" t="s">
        <v>42</v>
      </c>
      <c r="C18">
        <v>80.467359999999999</v>
      </c>
      <c r="D18">
        <v>16080</v>
      </c>
      <c r="E18">
        <v>0.60560000000000003</v>
      </c>
      <c r="F18">
        <v>0.65959999999999996</v>
      </c>
      <c r="G18">
        <v>0.70960000000000001</v>
      </c>
      <c r="H18">
        <v>0.75560000000000005</v>
      </c>
      <c r="I18">
        <v>0.79759999999999998</v>
      </c>
      <c r="J18">
        <v>0.83560000000000001</v>
      </c>
      <c r="K18">
        <v>0.86960000000000004</v>
      </c>
      <c r="L18">
        <v>0.89959999999999996</v>
      </c>
      <c r="M18">
        <v>0.92559999999999998</v>
      </c>
      <c r="N18">
        <v>0.9476</v>
      </c>
      <c r="O18">
        <v>0.96560000000000001</v>
      </c>
      <c r="P18">
        <v>0.97960000000000003</v>
      </c>
      <c r="Q18">
        <v>0.99160000000000004</v>
      </c>
      <c r="R18">
        <v>0.99929999999999997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0.99980000000000002</v>
      </c>
      <c r="AG18">
        <v>0.99880000000000002</v>
      </c>
      <c r="AH18">
        <v>0.99709999999999999</v>
      </c>
      <c r="AI18">
        <v>0.99450000000000005</v>
      </c>
      <c r="AJ18">
        <v>0.99109999999999998</v>
      </c>
      <c r="AK18">
        <v>0.98699999999999999</v>
      </c>
      <c r="AL18">
        <v>0.98199999999999998</v>
      </c>
      <c r="AM18">
        <v>0.97619999999999996</v>
      </c>
      <c r="AN18">
        <v>0.96960000000000002</v>
      </c>
      <c r="AO18">
        <v>0.96230000000000004</v>
      </c>
      <c r="AP18">
        <v>0.95450000000000002</v>
      </c>
      <c r="AQ18">
        <v>0.94669999999999999</v>
      </c>
      <c r="AR18">
        <v>0.93889999999999996</v>
      </c>
      <c r="AS18">
        <v>0.93110000000000004</v>
      </c>
      <c r="AT18">
        <v>0.9234</v>
      </c>
      <c r="AU18">
        <v>0.91559999999999997</v>
      </c>
      <c r="AV18">
        <v>0.90780000000000005</v>
      </c>
      <c r="AW18">
        <v>0.9</v>
      </c>
      <c r="AX18">
        <v>0.89219999999999999</v>
      </c>
      <c r="AY18">
        <v>0.88449999999999995</v>
      </c>
      <c r="AZ18">
        <v>0.87670000000000003</v>
      </c>
      <c r="BA18">
        <v>0.86890000000000001</v>
      </c>
      <c r="BB18">
        <v>0.86109999999999998</v>
      </c>
      <c r="BC18">
        <v>0.85329999999999995</v>
      </c>
      <c r="BD18">
        <v>0.84560000000000002</v>
      </c>
      <c r="BE18">
        <v>0.83779999999999999</v>
      </c>
      <c r="BF18">
        <v>0.83</v>
      </c>
      <c r="BG18">
        <v>0.82220000000000004</v>
      </c>
      <c r="BH18">
        <v>0.81440000000000001</v>
      </c>
      <c r="BI18">
        <v>0.80669999999999997</v>
      </c>
      <c r="BJ18">
        <v>0.79890000000000005</v>
      </c>
      <c r="BK18">
        <v>0.79110000000000003</v>
      </c>
      <c r="BL18">
        <v>0.7833</v>
      </c>
      <c r="BM18">
        <v>0.77549999999999997</v>
      </c>
      <c r="BN18">
        <v>0.76780000000000004</v>
      </c>
      <c r="BO18">
        <v>0.76</v>
      </c>
      <c r="BP18">
        <v>0.75219999999999998</v>
      </c>
      <c r="BQ18">
        <v>0.74439999999999995</v>
      </c>
      <c r="BR18">
        <v>0.73660000000000003</v>
      </c>
      <c r="BS18">
        <v>0.72860000000000003</v>
      </c>
      <c r="BT18">
        <v>0.7198</v>
      </c>
      <c r="BU18">
        <v>0.71040000000000003</v>
      </c>
      <c r="BV18">
        <v>0.70020000000000004</v>
      </c>
      <c r="BW18">
        <v>0.68930000000000002</v>
      </c>
      <c r="BX18">
        <v>0.67779999999999996</v>
      </c>
      <c r="BY18">
        <v>0.66549999999999998</v>
      </c>
      <c r="BZ18">
        <v>0.65259999999999996</v>
      </c>
      <c r="CA18">
        <v>0.63890000000000002</v>
      </c>
      <c r="CB18">
        <v>0.62450000000000006</v>
      </c>
      <c r="CC18">
        <v>0.60950000000000004</v>
      </c>
      <c r="CD18">
        <v>0.59370000000000001</v>
      </c>
      <c r="CE18">
        <v>0.57730000000000004</v>
      </c>
      <c r="CF18">
        <v>0.56010000000000004</v>
      </c>
      <c r="CG18">
        <v>0.54220000000000002</v>
      </c>
      <c r="CH18">
        <v>0.52370000000000005</v>
      </c>
      <c r="CI18">
        <v>0.50439999999999996</v>
      </c>
      <c r="CJ18">
        <v>0.48449999999999999</v>
      </c>
      <c r="CK18">
        <v>0.46379999999999999</v>
      </c>
      <c r="CL18">
        <v>0.44240000000000002</v>
      </c>
      <c r="CM18">
        <v>0.4204</v>
      </c>
      <c r="CN18">
        <v>0.39760000000000001</v>
      </c>
      <c r="CO18">
        <v>0.37419999999999998</v>
      </c>
      <c r="CP18">
        <v>0.35</v>
      </c>
      <c r="CQ18">
        <v>0.3251</v>
      </c>
      <c r="CR18">
        <v>0.29959999999999998</v>
      </c>
      <c r="CS18">
        <v>0.27329999999999999</v>
      </c>
      <c r="CT18">
        <v>0.24640000000000001</v>
      </c>
      <c r="CU18">
        <v>0.21870000000000001</v>
      </c>
      <c r="CV18">
        <v>0.1903</v>
      </c>
    </row>
    <row r="19" spans="1:100" x14ac:dyDescent="0.2">
      <c r="A19" t="s">
        <v>15</v>
      </c>
      <c r="B19" t="s">
        <v>43</v>
      </c>
      <c r="C19">
        <v>100</v>
      </c>
      <c r="D19">
        <v>21360</v>
      </c>
      <c r="E19">
        <v>0.60560000000000003</v>
      </c>
      <c r="F19">
        <v>0.65959999999999996</v>
      </c>
      <c r="G19">
        <v>0.70960000000000001</v>
      </c>
      <c r="H19">
        <v>0.75560000000000005</v>
      </c>
      <c r="I19">
        <v>0.79759999999999998</v>
      </c>
      <c r="J19">
        <v>0.83560000000000001</v>
      </c>
      <c r="K19">
        <v>0.86960000000000004</v>
      </c>
      <c r="L19">
        <v>0.89959999999999996</v>
      </c>
      <c r="M19">
        <v>0.92559999999999998</v>
      </c>
      <c r="N19">
        <v>0.9476</v>
      </c>
      <c r="O19">
        <v>0.96560000000000001</v>
      </c>
      <c r="P19">
        <v>0.97960000000000003</v>
      </c>
      <c r="Q19">
        <v>0.99160000000000004</v>
      </c>
      <c r="R19">
        <v>0.99929999999999997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0.99980000000000002</v>
      </c>
      <c r="AG19">
        <v>0.99880000000000002</v>
      </c>
      <c r="AH19">
        <v>0.99709999999999999</v>
      </c>
      <c r="AI19">
        <v>0.99450000000000005</v>
      </c>
      <c r="AJ19">
        <v>0.99109999999999998</v>
      </c>
      <c r="AK19">
        <v>0.98699999999999999</v>
      </c>
      <c r="AL19">
        <v>0.98199999999999998</v>
      </c>
      <c r="AM19">
        <v>0.97619999999999996</v>
      </c>
      <c r="AN19">
        <v>0.96960000000000002</v>
      </c>
      <c r="AO19">
        <v>0.96230000000000004</v>
      </c>
      <c r="AP19">
        <v>0.95450000000000002</v>
      </c>
      <c r="AQ19">
        <v>0.94669999999999999</v>
      </c>
      <c r="AR19">
        <v>0.93889999999999996</v>
      </c>
      <c r="AS19">
        <v>0.93110000000000004</v>
      </c>
      <c r="AT19">
        <v>0.9234</v>
      </c>
      <c r="AU19">
        <v>0.91559999999999997</v>
      </c>
      <c r="AV19">
        <v>0.90780000000000005</v>
      </c>
      <c r="AW19">
        <v>0.9</v>
      </c>
      <c r="AX19">
        <v>0.89219999999999999</v>
      </c>
      <c r="AY19">
        <v>0.88449999999999995</v>
      </c>
      <c r="AZ19">
        <v>0.87670000000000003</v>
      </c>
      <c r="BA19">
        <v>0.86890000000000001</v>
      </c>
      <c r="BB19">
        <v>0.86109999999999998</v>
      </c>
      <c r="BC19">
        <v>0.85329999999999995</v>
      </c>
      <c r="BD19">
        <v>0.84560000000000002</v>
      </c>
      <c r="BE19">
        <v>0.83779999999999999</v>
      </c>
      <c r="BF19">
        <v>0.83</v>
      </c>
      <c r="BG19">
        <v>0.82220000000000004</v>
      </c>
      <c r="BH19">
        <v>0.81440000000000001</v>
      </c>
      <c r="BI19">
        <v>0.80669999999999997</v>
      </c>
      <c r="BJ19">
        <v>0.79890000000000005</v>
      </c>
      <c r="BK19">
        <v>0.79110000000000003</v>
      </c>
      <c r="BL19">
        <v>0.7833</v>
      </c>
      <c r="BM19">
        <v>0.77549999999999997</v>
      </c>
      <c r="BN19">
        <v>0.76780000000000004</v>
      </c>
      <c r="BO19">
        <v>0.76</v>
      </c>
      <c r="BP19">
        <v>0.75219999999999998</v>
      </c>
      <c r="BQ19">
        <v>0.74439999999999995</v>
      </c>
      <c r="BR19">
        <v>0.73660000000000003</v>
      </c>
      <c r="BS19">
        <v>0.72860000000000003</v>
      </c>
      <c r="BT19">
        <v>0.7198</v>
      </c>
      <c r="BU19">
        <v>0.71040000000000003</v>
      </c>
      <c r="BV19">
        <v>0.70020000000000004</v>
      </c>
      <c r="BW19">
        <v>0.68930000000000002</v>
      </c>
      <c r="BX19">
        <v>0.67779999999999996</v>
      </c>
      <c r="BY19">
        <v>0.66549999999999998</v>
      </c>
      <c r="BZ19">
        <v>0.65259999999999996</v>
      </c>
      <c r="CA19">
        <v>0.63890000000000002</v>
      </c>
      <c r="CB19">
        <v>0.62450000000000006</v>
      </c>
      <c r="CC19">
        <v>0.60950000000000004</v>
      </c>
      <c r="CD19">
        <v>0.59370000000000001</v>
      </c>
      <c r="CE19">
        <v>0.57730000000000004</v>
      </c>
      <c r="CF19">
        <v>0.56010000000000004</v>
      </c>
      <c r="CG19">
        <v>0.54220000000000002</v>
      </c>
      <c r="CH19">
        <v>0.52370000000000005</v>
      </c>
      <c r="CI19">
        <v>0.50439999999999996</v>
      </c>
      <c r="CJ19">
        <v>0.48449999999999999</v>
      </c>
      <c r="CK19">
        <v>0.46379999999999999</v>
      </c>
      <c r="CL19">
        <v>0.44240000000000002</v>
      </c>
      <c r="CM19">
        <v>0.4204</v>
      </c>
      <c r="CN19">
        <v>0.39760000000000001</v>
      </c>
      <c r="CO19">
        <v>0.37419999999999998</v>
      </c>
      <c r="CP19">
        <v>0.35</v>
      </c>
      <c r="CQ19">
        <v>0.3251</v>
      </c>
      <c r="CR19">
        <v>0.29959999999999998</v>
      </c>
      <c r="CS19">
        <v>0.27329999999999999</v>
      </c>
      <c r="CT19">
        <v>0.24640000000000001</v>
      </c>
      <c r="CU19">
        <v>0.21870000000000001</v>
      </c>
      <c r="CV19">
        <v>0.1903</v>
      </c>
    </row>
    <row r="20" spans="1:100" x14ac:dyDescent="0.2">
      <c r="A20" t="s">
        <v>16</v>
      </c>
      <c r="B20" t="s">
        <v>44</v>
      </c>
      <c r="C20">
        <v>150</v>
      </c>
      <c r="D20">
        <v>36300</v>
      </c>
      <c r="E20">
        <v>0.60560000000000003</v>
      </c>
      <c r="F20">
        <v>0.65959999999999996</v>
      </c>
      <c r="G20">
        <v>0.70960000000000001</v>
      </c>
      <c r="H20">
        <v>0.75560000000000005</v>
      </c>
      <c r="I20">
        <v>0.79759999999999998</v>
      </c>
      <c r="J20">
        <v>0.83560000000000001</v>
      </c>
      <c r="K20">
        <v>0.86960000000000004</v>
      </c>
      <c r="L20">
        <v>0.89959999999999996</v>
      </c>
      <c r="M20">
        <v>0.92559999999999998</v>
      </c>
      <c r="N20">
        <v>0.9476</v>
      </c>
      <c r="O20">
        <v>0.96560000000000001</v>
      </c>
      <c r="P20">
        <v>0.97960000000000003</v>
      </c>
      <c r="Q20">
        <v>0.99160000000000004</v>
      </c>
      <c r="R20">
        <v>0.99929999999999997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0.99980000000000002</v>
      </c>
      <c r="AG20">
        <v>0.99880000000000002</v>
      </c>
      <c r="AH20">
        <v>0.99709999999999999</v>
      </c>
      <c r="AI20">
        <v>0.99450000000000005</v>
      </c>
      <c r="AJ20">
        <v>0.99109999999999998</v>
      </c>
      <c r="AK20">
        <v>0.98699999999999999</v>
      </c>
      <c r="AL20">
        <v>0.98199999999999998</v>
      </c>
      <c r="AM20">
        <v>0.97619999999999996</v>
      </c>
      <c r="AN20">
        <v>0.96960000000000002</v>
      </c>
      <c r="AO20">
        <v>0.96230000000000004</v>
      </c>
      <c r="AP20">
        <v>0.95450000000000002</v>
      </c>
      <c r="AQ20">
        <v>0.94669999999999999</v>
      </c>
      <c r="AR20">
        <v>0.93889999999999996</v>
      </c>
      <c r="AS20">
        <v>0.93110000000000004</v>
      </c>
      <c r="AT20">
        <v>0.9234</v>
      </c>
      <c r="AU20">
        <v>0.91559999999999997</v>
      </c>
      <c r="AV20">
        <v>0.90780000000000005</v>
      </c>
      <c r="AW20">
        <v>0.9</v>
      </c>
      <c r="AX20">
        <v>0.89219999999999999</v>
      </c>
      <c r="AY20">
        <v>0.88449999999999995</v>
      </c>
      <c r="AZ20">
        <v>0.87670000000000003</v>
      </c>
      <c r="BA20">
        <v>0.86890000000000001</v>
      </c>
      <c r="BB20">
        <v>0.86109999999999998</v>
      </c>
      <c r="BC20">
        <v>0.85329999999999995</v>
      </c>
      <c r="BD20">
        <v>0.84560000000000002</v>
      </c>
      <c r="BE20">
        <v>0.83779999999999999</v>
      </c>
      <c r="BF20">
        <v>0.83</v>
      </c>
      <c r="BG20">
        <v>0.82220000000000004</v>
      </c>
      <c r="BH20">
        <v>0.81440000000000001</v>
      </c>
      <c r="BI20">
        <v>0.80669999999999997</v>
      </c>
      <c r="BJ20">
        <v>0.79890000000000005</v>
      </c>
      <c r="BK20">
        <v>0.79110000000000003</v>
      </c>
      <c r="BL20">
        <v>0.7833</v>
      </c>
      <c r="BM20">
        <v>0.77549999999999997</v>
      </c>
      <c r="BN20">
        <v>0.76780000000000004</v>
      </c>
      <c r="BO20">
        <v>0.76</v>
      </c>
      <c r="BP20">
        <v>0.75219999999999998</v>
      </c>
      <c r="BQ20">
        <v>0.74439999999999995</v>
      </c>
      <c r="BR20">
        <v>0.73660000000000003</v>
      </c>
      <c r="BS20">
        <v>0.72860000000000003</v>
      </c>
      <c r="BT20">
        <v>0.7198</v>
      </c>
      <c r="BU20">
        <v>0.71040000000000003</v>
      </c>
      <c r="BV20">
        <v>0.70020000000000004</v>
      </c>
      <c r="BW20">
        <v>0.68930000000000002</v>
      </c>
      <c r="BX20">
        <v>0.67779999999999996</v>
      </c>
      <c r="BY20">
        <v>0.66549999999999998</v>
      </c>
      <c r="BZ20">
        <v>0.65259999999999996</v>
      </c>
      <c r="CA20">
        <v>0.63890000000000002</v>
      </c>
      <c r="CB20">
        <v>0.62450000000000006</v>
      </c>
      <c r="CC20">
        <v>0.60950000000000004</v>
      </c>
      <c r="CD20">
        <v>0.59370000000000001</v>
      </c>
      <c r="CE20">
        <v>0.57730000000000004</v>
      </c>
      <c r="CF20">
        <v>0.56010000000000004</v>
      </c>
      <c r="CG20">
        <v>0.54220000000000002</v>
      </c>
      <c r="CH20">
        <v>0.52370000000000005</v>
      </c>
      <c r="CI20">
        <v>0.50439999999999996</v>
      </c>
      <c r="CJ20">
        <v>0.48449999999999999</v>
      </c>
      <c r="CK20">
        <v>0.46379999999999999</v>
      </c>
      <c r="CL20">
        <v>0.44240000000000002</v>
      </c>
      <c r="CM20">
        <v>0.4204</v>
      </c>
      <c r="CN20">
        <v>0.39760000000000001</v>
      </c>
      <c r="CO20">
        <v>0.37419999999999998</v>
      </c>
      <c r="CP20">
        <v>0.35</v>
      </c>
      <c r="CQ20">
        <v>0.3251</v>
      </c>
      <c r="CR20">
        <v>0.29959999999999998</v>
      </c>
      <c r="CS20">
        <v>0.27329999999999999</v>
      </c>
      <c r="CT20">
        <v>0.24640000000000001</v>
      </c>
      <c r="CU20">
        <v>0.21870000000000001</v>
      </c>
      <c r="CV20">
        <v>0.1903</v>
      </c>
    </row>
    <row r="21" spans="1:100" x14ac:dyDescent="0.2">
      <c r="A21" t="s">
        <v>17</v>
      </c>
      <c r="B21" t="s">
        <v>45</v>
      </c>
      <c r="C21">
        <v>160.93440000000001</v>
      </c>
      <c r="D21">
        <v>39850</v>
      </c>
      <c r="E21">
        <v>0.60560000000000003</v>
      </c>
      <c r="F21">
        <v>0.65959999999999996</v>
      </c>
      <c r="G21">
        <v>0.70960000000000001</v>
      </c>
      <c r="H21">
        <v>0.75560000000000005</v>
      </c>
      <c r="I21">
        <v>0.79759999999999998</v>
      </c>
      <c r="J21">
        <v>0.83560000000000001</v>
      </c>
      <c r="K21">
        <v>0.86960000000000004</v>
      </c>
      <c r="L21">
        <v>0.89959999999999996</v>
      </c>
      <c r="M21">
        <v>0.92559999999999998</v>
      </c>
      <c r="N21">
        <v>0.9476</v>
      </c>
      <c r="O21">
        <v>0.96560000000000001</v>
      </c>
      <c r="P21">
        <v>0.97960000000000003</v>
      </c>
      <c r="Q21">
        <v>0.99160000000000004</v>
      </c>
      <c r="R21">
        <v>0.99929999999999997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0.99980000000000002</v>
      </c>
      <c r="AG21">
        <v>0.99880000000000002</v>
      </c>
      <c r="AH21">
        <v>0.99709999999999999</v>
      </c>
      <c r="AI21">
        <v>0.99450000000000005</v>
      </c>
      <c r="AJ21">
        <v>0.99109999999999998</v>
      </c>
      <c r="AK21">
        <v>0.98699999999999999</v>
      </c>
      <c r="AL21">
        <v>0.98199999999999998</v>
      </c>
      <c r="AM21">
        <v>0.97619999999999996</v>
      </c>
      <c r="AN21">
        <v>0.96960000000000002</v>
      </c>
      <c r="AO21">
        <v>0.96230000000000004</v>
      </c>
      <c r="AP21">
        <v>0.95450000000000002</v>
      </c>
      <c r="AQ21">
        <v>0.94669999999999999</v>
      </c>
      <c r="AR21">
        <v>0.93889999999999996</v>
      </c>
      <c r="AS21">
        <v>0.93110000000000004</v>
      </c>
      <c r="AT21">
        <v>0.9234</v>
      </c>
      <c r="AU21">
        <v>0.91559999999999997</v>
      </c>
      <c r="AV21">
        <v>0.90780000000000005</v>
      </c>
      <c r="AW21">
        <v>0.9</v>
      </c>
      <c r="AX21">
        <v>0.89219999999999999</v>
      </c>
      <c r="AY21">
        <v>0.88449999999999995</v>
      </c>
      <c r="AZ21">
        <v>0.87670000000000003</v>
      </c>
      <c r="BA21">
        <v>0.86890000000000001</v>
      </c>
      <c r="BB21">
        <v>0.86109999999999998</v>
      </c>
      <c r="BC21">
        <v>0.85329999999999995</v>
      </c>
      <c r="BD21">
        <v>0.84560000000000002</v>
      </c>
      <c r="BE21">
        <v>0.83779999999999999</v>
      </c>
      <c r="BF21">
        <v>0.83</v>
      </c>
      <c r="BG21">
        <v>0.82220000000000004</v>
      </c>
      <c r="BH21">
        <v>0.81440000000000001</v>
      </c>
      <c r="BI21">
        <v>0.80669999999999997</v>
      </c>
      <c r="BJ21">
        <v>0.79890000000000005</v>
      </c>
      <c r="BK21">
        <v>0.79110000000000003</v>
      </c>
      <c r="BL21">
        <v>0.7833</v>
      </c>
      <c r="BM21">
        <v>0.77549999999999997</v>
      </c>
      <c r="BN21">
        <v>0.76780000000000004</v>
      </c>
      <c r="BO21">
        <v>0.76</v>
      </c>
      <c r="BP21">
        <v>0.75219999999999998</v>
      </c>
      <c r="BQ21">
        <v>0.74439999999999995</v>
      </c>
      <c r="BR21">
        <v>0.73660000000000003</v>
      </c>
      <c r="BS21">
        <v>0.72860000000000003</v>
      </c>
      <c r="BT21">
        <v>0.7198</v>
      </c>
      <c r="BU21">
        <v>0.71040000000000003</v>
      </c>
      <c r="BV21">
        <v>0.70020000000000004</v>
      </c>
      <c r="BW21">
        <v>0.68930000000000002</v>
      </c>
      <c r="BX21">
        <v>0.67779999999999996</v>
      </c>
      <c r="BY21">
        <v>0.66549999999999998</v>
      </c>
      <c r="BZ21">
        <v>0.65259999999999996</v>
      </c>
      <c r="CA21">
        <v>0.63890000000000002</v>
      </c>
      <c r="CB21">
        <v>0.62450000000000006</v>
      </c>
      <c r="CC21">
        <v>0.60950000000000004</v>
      </c>
      <c r="CD21">
        <v>0.59370000000000001</v>
      </c>
      <c r="CE21">
        <v>0.57730000000000004</v>
      </c>
      <c r="CF21">
        <v>0.56010000000000004</v>
      </c>
      <c r="CG21">
        <v>0.54220000000000002</v>
      </c>
      <c r="CH21">
        <v>0.52370000000000005</v>
      </c>
      <c r="CI21">
        <v>0.50439999999999996</v>
      </c>
      <c r="CJ21">
        <v>0.48449999999999999</v>
      </c>
      <c r="CK21">
        <v>0.46379999999999999</v>
      </c>
      <c r="CL21">
        <v>0.44240000000000002</v>
      </c>
      <c r="CM21">
        <v>0.4204</v>
      </c>
      <c r="CN21">
        <v>0.39760000000000001</v>
      </c>
      <c r="CO21">
        <v>0.37419999999999998</v>
      </c>
      <c r="CP21">
        <v>0.35</v>
      </c>
      <c r="CQ21">
        <v>0.3251</v>
      </c>
      <c r="CR21">
        <v>0.29959999999999998</v>
      </c>
      <c r="CS21">
        <v>0.27329999999999999</v>
      </c>
      <c r="CT21">
        <v>0.24640000000000001</v>
      </c>
      <c r="CU21">
        <v>0.21870000000000001</v>
      </c>
      <c r="CV21">
        <v>0.1903</v>
      </c>
    </row>
    <row r="22" spans="1:100" x14ac:dyDescent="0.2">
      <c r="A22" t="s">
        <v>18</v>
      </c>
      <c r="B22" t="s">
        <v>46</v>
      </c>
      <c r="C22">
        <v>200</v>
      </c>
      <c r="D22">
        <v>52800.000000000007</v>
      </c>
      <c r="E22">
        <v>0.60560000000000003</v>
      </c>
      <c r="F22">
        <v>0.65959999999999996</v>
      </c>
      <c r="G22">
        <v>0.70960000000000001</v>
      </c>
      <c r="H22">
        <v>0.75560000000000005</v>
      </c>
      <c r="I22">
        <v>0.79759999999999998</v>
      </c>
      <c r="J22">
        <v>0.83560000000000001</v>
      </c>
      <c r="K22">
        <v>0.86960000000000004</v>
      </c>
      <c r="L22">
        <v>0.89959999999999996</v>
      </c>
      <c r="M22">
        <v>0.92559999999999998</v>
      </c>
      <c r="N22">
        <v>0.9476</v>
      </c>
      <c r="O22">
        <v>0.96560000000000001</v>
      </c>
      <c r="P22">
        <v>0.97960000000000003</v>
      </c>
      <c r="Q22">
        <v>0.99160000000000004</v>
      </c>
      <c r="R22">
        <v>0.99929999999999997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0.99980000000000002</v>
      </c>
      <c r="AG22">
        <v>0.99880000000000002</v>
      </c>
      <c r="AH22">
        <v>0.99709999999999999</v>
      </c>
      <c r="AI22">
        <v>0.99450000000000005</v>
      </c>
      <c r="AJ22">
        <v>0.99109999999999998</v>
      </c>
      <c r="AK22">
        <v>0.98699999999999999</v>
      </c>
      <c r="AL22">
        <v>0.98199999999999998</v>
      </c>
      <c r="AM22">
        <v>0.97619999999999996</v>
      </c>
      <c r="AN22">
        <v>0.96960000000000002</v>
      </c>
      <c r="AO22">
        <v>0.96230000000000004</v>
      </c>
      <c r="AP22">
        <v>0.95450000000000002</v>
      </c>
      <c r="AQ22">
        <v>0.94669999999999999</v>
      </c>
      <c r="AR22">
        <v>0.93889999999999996</v>
      </c>
      <c r="AS22">
        <v>0.93110000000000004</v>
      </c>
      <c r="AT22">
        <v>0.9234</v>
      </c>
      <c r="AU22">
        <v>0.91559999999999997</v>
      </c>
      <c r="AV22">
        <v>0.90780000000000005</v>
      </c>
      <c r="AW22">
        <v>0.9</v>
      </c>
      <c r="AX22">
        <v>0.89219999999999999</v>
      </c>
      <c r="AY22">
        <v>0.88449999999999995</v>
      </c>
      <c r="AZ22">
        <v>0.87670000000000003</v>
      </c>
      <c r="BA22">
        <v>0.86890000000000001</v>
      </c>
      <c r="BB22">
        <v>0.86109999999999998</v>
      </c>
      <c r="BC22">
        <v>0.85329999999999995</v>
      </c>
      <c r="BD22">
        <v>0.84560000000000002</v>
      </c>
      <c r="BE22">
        <v>0.83779999999999999</v>
      </c>
      <c r="BF22">
        <v>0.83</v>
      </c>
      <c r="BG22">
        <v>0.82220000000000004</v>
      </c>
      <c r="BH22">
        <v>0.81440000000000001</v>
      </c>
      <c r="BI22">
        <v>0.80669999999999997</v>
      </c>
      <c r="BJ22">
        <v>0.79890000000000005</v>
      </c>
      <c r="BK22">
        <v>0.79110000000000003</v>
      </c>
      <c r="BL22">
        <v>0.7833</v>
      </c>
      <c r="BM22">
        <v>0.77549999999999997</v>
      </c>
      <c r="BN22">
        <v>0.76780000000000004</v>
      </c>
      <c r="BO22">
        <v>0.76</v>
      </c>
      <c r="BP22">
        <v>0.75219999999999998</v>
      </c>
      <c r="BQ22">
        <v>0.74439999999999995</v>
      </c>
      <c r="BR22">
        <v>0.73660000000000003</v>
      </c>
      <c r="BS22">
        <v>0.72860000000000003</v>
      </c>
      <c r="BT22">
        <v>0.7198</v>
      </c>
      <c r="BU22">
        <v>0.71040000000000003</v>
      </c>
      <c r="BV22">
        <v>0.70020000000000004</v>
      </c>
      <c r="BW22">
        <v>0.68930000000000002</v>
      </c>
      <c r="BX22">
        <v>0.67779999999999996</v>
      </c>
      <c r="BY22">
        <v>0.66549999999999998</v>
      </c>
      <c r="BZ22">
        <v>0.65259999999999996</v>
      </c>
      <c r="CA22">
        <v>0.63890000000000002</v>
      </c>
      <c r="CB22">
        <v>0.62450000000000006</v>
      </c>
      <c r="CC22">
        <v>0.60950000000000004</v>
      </c>
      <c r="CD22">
        <v>0.59370000000000001</v>
      </c>
      <c r="CE22">
        <v>0.57730000000000004</v>
      </c>
      <c r="CF22">
        <v>0.56010000000000004</v>
      </c>
      <c r="CG22">
        <v>0.54220000000000002</v>
      </c>
      <c r="CH22">
        <v>0.52370000000000005</v>
      </c>
      <c r="CI22">
        <v>0.50439999999999996</v>
      </c>
      <c r="CJ22">
        <v>0.48449999999999999</v>
      </c>
      <c r="CK22">
        <v>0.46379999999999999</v>
      </c>
      <c r="CL22">
        <v>0.44240000000000002</v>
      </c>
      <c r="CM22">
        <v>0.4204</v>
      </c>
      <c r="CN22">
        <v>0.39760000000000001</v>
      </c>
      <c r="CO22">
        <v>0.37419999999999998</v>
      </c>
      <c r="CP22">
        <v>0.35</v>
      </c>
      <c r="CQ22">
        <v>0.3251</v>
      </c>
      <c r="CR22">
        <v>0.29959999999999998</v>
      </c>
      <c r="CS22">
        <v>0.27329999999999999</v>
      </c>
      <c r="CT22">
        <v>0.24640000000000001</v>
      </c>
      <c r="CU22">
        <v>0.21870000000000001</v>
      </c>
      <c r="CV22">
        <v>0.1903</v>
      </c>
    </row>
    <row r="26" spans="1:100" x14ac:dyDescent="0.2">
      <c r="A26" t="s">
        <v>75</v>
      </c>
      <c r="C26" t="s">
        <v>77</v>
      </c>
      <c r="D26" t="s">
        <v>76</v>
      </c>
      <c r="E26" t="s">
        <v>82</v>
      </c>
      <c r="F26" s="9" t="s">
        <v>83</v>
      </c>
      <c r="G26" s="9" t="s">
        <v>84</v>
      </c>
      <c r="H26" s="9" t="s">
        <v>85</v>
      </c>
      <c r="I26" s="9" t="s">
        <v>86</v>
      </c>
      <c r="J26" s="9" t="s">
        <v>87</v>
      </c>
      <c r="K26" s="9" t="s">
        <v>88</v>
      </c>
      <c r="L26" s="9" t="s">
        <v>89</v>
      </c>
      <c r="M26" s="9" t="s">
        <v>90</v>
      </c>
      <c r="N26" s="9" t="s">
        <v>91</v>
      </c>
      <c r="O26" s="9" t="s">
        <v>92</v>
      </c>
      <c r="P26" s="9" t="s">
        <v>93</v>
      </c>
      <c r="Q26" s="9" t="s">
        <v>94</v>
      </c>
      <c r="R26" s="9" t="s">
        <v>95</v>
      </c>
      <c r="S26" s="9" t="s">
        <v>96</v>
      </c>
      <c r="T26" s="9" t="s">
        <v>97</v>
      </c>
      <c r="U26" s="9" t="s">
        <v>98</v>
      </c>
      <c r="V26" s="9" t="s">
        <v>99</v>
      </c>
      <c r="W26" s="9" t="s">
        <v>100</v>
      </c>
      <c r="X26" s="9" t="s">
        <v>101</v>
      </c>
      <c r="Y26" s="9" t="s">
        <v>102</v>
      </c>
      <c r="Z26" s="9" t="s">
        <v>103</v>
      </c>
      <c r="AA26" s="9" t="s">
        <v>104</v>
      </c>
      <c r="AB26" s="9" t="s">
        <v>105</v>
      </c>
      <c r="AC26" s="9" t="s">
        <v>106</v>
      </c>
      <c r="AD26" s="9" t="s">
        <v>107</v>
      </c>
      <c r="AE26" s="9" t="s">
        <v>108</v>
      </c>
      <c r="AF26" s="9" t="s">
        <v>109</v>
      </c>
      <c r="AG26" s="9" t="s">
        <v>110</v>
      </c>
      <c r="AH26" s="9" t="s">
        <v>111</v>
      </c>
      <c r="AI26" s="9" t="s">
        <v>112</v>
      </c>
      <c r="AJ26" s="9" t="s">
        <v>113</v>
      </c>
      <c r="AK26" s="9" t="s">
        <v>114</v>
      </c>
      <c r="AL26" s="9" t="s">
        <v>115</v>
      </c>
      <c r="AM26" s="9" t="s">
        <v>116</v>
      </c>
      <c r="AN26" s="9" t="s">
        <v>117</v>
      </c>
      <c r="AO26" s="9" t="s">
        <v>118</v>
      </c>
      <c r="AP26" s="9" t="s">
        <v>119</v>
      </c>
      <c r="AQ26" s="9" t="s">
        <v>120</v>
      </c>
      <c r="AR26" s="9" t="s">
        <v>121</v>
      </c>
      <c r="AS26" s="9" t="s">
        <v>122</v>
      </c>
      <c r="AT26" s="9" t="s">
        <v>123</v>
      </c>
      <c r="AU26" s="9" t="s">
        <v>124</v>
      </c>
      <c r="AV26" s="9" t="s">
        <v>125</v>
      </c>
      <c r="AW26" s="9" t="s">
        <v>126</v>
      </c>
      <c r="AX26" s="9" t="s">
        <v>127</v>
      </c>
      <c r="AY26" s="9" t="s">
        <v>128</v>
      </c>
      <c r="AZ26" s="9" t="s">
        <v>129</v>
      </c>
      <c r="BA26" s="9" t="s">
        <v>130</v>
      </c>
      <c r="BB26" s="9" t="s">
        <v>131</v>
      </c>
      <c r="BC26" s="9" t="s">
        <v>132</v>
      </c>
      <c r="BD26" s="9" t="s">
        <v>133</v>
      </c>
      <c r="BE26" s="9" t="s">
        <v>134</v>
      </c>
      <c r="BF26" s="9" t="s">
        <v>135</v>
      </c>
      <c r="BG26" s="9" t="s">
        <v>136</v>
      </c>
      <c r="BH26" s="9" t="s">
        <v>137</v>
      </c>
      <c r="BI26" s="9" t="s">
        <v>138</v>
      </c>
      <c r="BJ26" s="9" t="s">
        <v>139</v>
      </c>
      <c r="BK26" s="9" t="s">
        <v>140</v>
      </c>
      <c r="BL26" s="9" t="s">
        <v>141</v>
      </c>
      <c r="BM26" s="9" t="s">
        <v>142</v>
      </c>
      <c r="BN26" s="9" t="s">
        <v>143</v>
      </c>
      <c r="BO26" s="9" t="s">
        <v>144</v>
      </c>
      <c r="BP26" s="9" t="s">
        <v>145</v>
      </c>
      <c r="BQ26" s="9" t="s">
        <v>146</v>
      </c>
      <c r="BR26" s="9" t="s">
        <v>147</v>
      </c>
      <c r="BS26" s="9" t="s">
        <v>148</v>
      </c>
      <c r="BT26" s="9" t="s">
        <v>149</v>
      </c>
      <c r="BU26" s="9" t="s">
        <v>150</v>
      </c>
      <c r="BV26" s="9" t="s">
        <v>151</v>
      </c>
      <c r="BW26" s="9" t="s">
        <v>152</v>
      </c>
      <c r="BX26" s="9" t="s">
        <v>153</v>
      </c>
      <c r="BY26" s="9" t="s">
        <v>154</v>
      </c>
      <c r="BZ26" s="9" t="s">
        <v>155</v>
      </c>
      <c r="CA26" s="9" t="s">
        <v>156</v>
      </c>
      <c r="CB26" s="9" t="s">
        <v>157</v>
      </c>
      <c r="CC26" s="9" t="s">
        <v>158</v>
      </c>
      <c r="CD26" s="9" t="s">
        <v>159</v>
      </c>
      <c r="CE26" s="9" t="s">
        <v>160</v>
      </c>
      <c r="CF26" s="9" t="s">
        <v>161</v>
      </c>
      <c r="CG26" s="9" t="s">
        <v>162</v>
      </c>
      <c r="CH26" s="9" t="s">
        <v>163</v>
      </c>
      <c r="CI26" s="9" t="s">
        <v>164</v>
      </c>
      <c r="CJ26" s="9" t="s">
        <v>165</v>
      </c>
      <c r="CK26" s="9" t="s">
        <v>166</v>
      </c>
      <c r="CL26" s="9" t="s">
        <v>167</v>
      </c>
      <c r="CM26" s="9" t="s">
        <v>168</v>
      </c>
      <c r="CN26" s="9" t="s">
        <v>169</v>
      </c>
      <c r="CO26" s="9" t="s">
        <v>170</v>
      </c>
      <c r="CP26" s="9" t="s">
        <v>171</v>
      </c>
      <c r="CQ26" s="9" t="s">
        <v>172</v>
      </c>
      <c r="CR26" s="9" t="s">
        <v>173</v>
      </c>
      <c r="CS26" s="9" t="s">
        <v>174</v>
      </c>
      <c r="CT26" s="9" t="s">
        <v>175</v>
      </c>
      <c r="CU26" s="9" t="s">
        <v>176</v>
      </c>
      <c r="CV26" s="9" t="s">
        <v>177</v>
      </c>
    </row>
    <row r="27" spans="1:100" ht="15" x14ac:dyDescent="0.25">
      <c r="C27" s="12">
        <v>12.6</v>
      </c>
      <c r="D27" s="10">
        <f>ROUNDDOWN(D$29*(1+D$28),0)</f>
        <v>2307</v>
      </c>
      <c r="E27">
        <f>E$29+E28</f>
        <v>0.67957999999999996</v>
      </c>
      <c r="F27">
        <f t="shared" ref="F27:BQ27" si="0">F$29+F28</f>
        <v>0.71348</v>
      </c>
      <c r="G27">
        <f t="shared" si="0"/>
        <v>0.74558000000000002</v>
      </c>
      <c r="H27">
        <f t="shared" si="0"/>
        <v>0.77578000000000003</v>
      </c>
      <c r="I27">
        <f t="shared" si="0"/>
        <v>0.80418000000000001</v>
      </c>
      <c r="J27">
        <f t="shared" si="0"/>
        <v>0.83087999999999995</v>
      </c>
      <c r="K27">
        <f t="shared" si="0"/>
        <v>0.85558000000000001</v>
      </c>
      <c r="L27">
        <f t="shared" si="0"/>
        <v>0.87858000000000003</v>
      </c>
      <c r="M27">
        <f t="shared" si="0"/>
        <v>0.89977999999999991</v>
      </c>
      <c r="N27">
        <f t="shared" si="0"/>
        <v>0.91908000000000001</v>
      </c>
      <c r="O27">
        <f t="shared" si="0"/>
        <v>0.93657999999999997</v>
      </c>
      <c r="P27">
        <f t="shared" si="0"/>
        <v>0.95318000000000003</v>
      </c>
      <c r="Q27">
        <f t="shared" si="0"/>
        <v>0.96978000000000009</v>
      </c>
      <c r="R27">
        <f t="shared" si="0"/>
        <v>0.98410000000000009</v>
      </c>
      <c r="S27">
        <f t="shared" si="0"/>
        <v>0.99383999999999995</v>
      </c>
      <c r="T27">
        <f t="shared" si="0"/>
        <v>0.99907999999999997</v>
      </c>
      <c r="U27">
        <f t="shared" si="0"/>
        <v>1</v>
      </c>
      <c r="V27">
        <f t="shared" si="0"/>
        <v>1</v>
      </c>
      <c r="W27">
        <f t="shared" si="0"/>
        <v>1</v>
      </c>
      <c r="X27">
        <f t="shared" si="0"/>
        <v>1</v>
      </c>
      <c r="Y27">
        <f t="shared" si="0"/>
        <v>1</v>
      </c>
      <c r="Z27">
        <f t="shared" si="0"/>
        <v>1</v>
      </c>
      <c r="AA27">
        <f t="shared" si="0"/>
        <v>1</v>
      </c>
      <c r="AB27">
        <f t="shared" si="0"/>
        <v>0.99992000000000003</v>
      </c>
      <c r="AC27">
        <f t="shared" si="0"/>
        <v>0.99956</v>
      </c>
      <c r="AD27">
        <f t="shared" si="0"/>
        <v>0.99862000000000006</v>
      </c>
      <c r="AE27">
        <f t="shared" si="0"/>
        <v>0.99726000000000004</v>
      </c>
      <c r="AF27">
        <f t="shared" si="0"/>
        <v>0.99549999999999994</v>
      </c>
      <c r="AG27">
        <f t="shared" si="0"/>
        <v>0.99314000000000002</v>
      </c>
      <c r="AH27">
        <f t="shared" si="0"/>
        <v>0.99043999999999999</v>
      </c>
      <c r="AI27">
        <f t="shared" si="0"/>
        <v>0.98717999999999995</v>
      </c>
      <c r="AJ27">
        <f t="shared" si="0"/>
        <v>0.98349999999999993</v>
      </c>
      <c r="AK27">
        <f t="shared" si="0"/>
        <v>0.97931999999999997</v>
      </c>
      <c r="AL27">
        <f t="shared" si="0"/>
        <v>0.97464000000000006</v>
      </c>
      <c r="AM27">
        <f t="shared" si="0"/>
        <v>0.96953999999999996</v>
      </c>
      <c r="AN27">
        <f t="shared" si="0"/>
        <v>0.96394000000000002</v>
      </c>
      <c r="AO27">
        <f t="shared" si="0"/>
        <v>0.95791999999999999</v>
      </c>
      <c r="AP27">
        <f t="shared" si="0"/>
        <v>0.95141999999999993</v>
      </c>
      <c r="AQ27">
        <f t="shared" si="0"/>
        <v>0.94440000000000002</v>
      </c>
      <c r="AR27">
        <f t="shared" si="0"/>
        <v>0.93698000000000004</v>
      </c>
      <c r="AS27">
        <f t="shared" si="0"/>
        <v>0.92903999999999998</v>
      </c>
      <c r="AT27">
        <f t="shared" si="0"/>
        <v>0.92061999999999999</v>
      </c>
      <c r="AU27">
        <f t="shared" si="0"/>
        <v>0.91177999999999992</v>
      </c>
      <c r="AV27">
        <f t="shared" si="0"/>
        <v>0.90244000000000002</v>
      </c>
      <c r="AW27">
        <f t="shared" si="0"/>
        <v>0.89259999999999995</v>
      </c>
      <c r="AX27">
        <f t="shared" si="0"/>
        <v>0.88256000000000001</v>
      </c>
      <c r="AY27">
        <f t="shared" si="0"/>
        <v>0.87246000000000001</v>
      </c>
      <c r="AZ27">
        <f t="shared" si="0"/>
        <v>0.86242000000000008</v>
      </c>
      <c r="BA27">
        <f t="shared" si="0"/>
        <v>0.85229999999999995</v>
      </c>
      <c r="BB27">
        <f t="shared" si="0"/>
        <v>0.84226000000000001</v>
      </c>
      <c r="BC27">
        <f t="shared" si="0"/>
        <v>0.83213999999999999</v>
      </c>
      <c r="BD27">
        <f t="shared" si="0"/>
        <v>0.82210000000000005</v>
      </c>
      <c r="BE27">
        <f t="shared" si="0"/>
        <v>0.81198000000000004</v>
      </c>
      <c r="BF27">
        <f t="shared" si="0"/>
        <v>0.80193999999999999</v>
      </c>
      <c r="BG27">
        <f t="shared" si="0"/>
        <v>0.79182000000000008</v>
      </c>
      <c r="BH27">
        <f t="shared" si="0"/>
        <v>0.78178000000000003</v>
      </c>
      <c r="BI27">
        <f t="shared" si="0"/>
        <v>0.77168000000000003</v>
      </c>
      <c r="BJ27">
        <f t="shared" si="0"/>
        <v>0.76156000000000001</v>
      </c>
      <c r="BK27">
        <f t="shared" si="0"/>
        <v>0.75151999999999997</v>
      </c>
      <c r="BL27">
        <f t="shared" si="0"/>
        <v>0.74140000000000006</v>
      </c>
      <c r="BM27">
        <f t="shared" si="0"/>
        <v>0.73136000000000001</v>
      </c>
      <c r="BN27">
        <f t="shared" si="0"/>
        <v>0.72123999999999999</v>
      </c>
      <c r="BO27">
        <f t="shared" si="0"/>
        <v>0.71120000000000005</v>
      </c>
      <c r="BP27">
        <f t="shared" si="0"/>
        <v>0.70108000000000004</v>
      </c>
      <c r="BQ27">
        <f t="shared" si="0"/>
        <v>0.69103999999999999</v>
      </c>
      <c r="BR27">
        <f t="shared" ref="BR27:CV27" si="1">BR$29+BR28</f>
        <v>0.68093999999999999</v>
      </c>
      <c r="BS27">
        <f t="shared" si="1"/>
        <v>0.67090000000000005</v>
      </c>
      <c r="BT27">
        <f t="shared" si="1"/>
        <v>0.66078000000000003</v>
      </c>
      <c r="BU27">
        <f t="shared" si="1"/>
        <v>0.65073999999999999</v>
      </c>
      <c r="BV27">
        <f t="shared" si="1"/>
        <v>0.64061999999999997</v>
      </c>
      <c r="BW27">
        <f t="shared" si="1"/>
        <v>0.63058000000000003</v>
      </c>
      <c r="BX27">
        <f t="shared" si="1"/>
        <v>0.62028000000000005</v>
      </c>
      <c r="BY27">
        <f t="shared" si="1"/>
        <v>0.60919999999999996</v>
      </c>
      <c r="BZ27">
        <f t="shared" si="1"/>
        <v>0.59741999999999995</v>
      </c>
      <c r="CA27">
        <f t="shared" si="1"/>
        <v>0.58489999999999998</v>
      </c>
      <c r="CB27">
        <f t="shared" si="1"/>
        <v>0.57152000000000003</v>
      </c>
      <c r="CC27">
        <f t="shared" si="1"/>
        <v>0.55742000000000003</v>
      </c>
      <c r="CD27">
        <f t="shared" si="1"/>
        <v>0.54252</v>
      </c>
      <c r="CE27">
        <f t="shared" si="1"/>
        <v>0.52691999999999994</v>
      </c>
      <c r="CF27">
        <f t="shared" si="1"/>
        <v>0.51041999999999998</v>
      </c>
      <c r="CG27">
        <f t="shared" si="1"/>
        <v>0.49330000000000002</v>
      </c>
      <c r="CH27">
        <f t="shared" si="1"/>
        <v>0.4753</v>
      </c>
      <c r="CI27">
        <f t="shared" si="1"/>
        <v>0.45657999999999999</v>
      </c>
      <c r="CJ27">
        <f t="shared" si="1"/>
        <v>0.43706</v>
      </c>
      <c r="CK27">
        <f t="shared" si="1"/>
        <v>0.41676000000000002</v>
      </c>
      <c r="CL27">
        <f t="shared" si="1"/>
        <v>0.39573999999999998</v>
      </c>
      <c r="CM27">
        <f t="shared" si="1"/>
        <v>0.37384000000000001</v>
      </c>
      <c r="CN27">
        <f t="shared" si="1"/>
        <v>0.3513</v>
      </c>
      <c r="CO27">
        <f t="shared" si="1"/>
        <v>0.32788</v>
      </c>
      <c r="CP27">
        <f t="shared" si="1"/>
        <v>0.30374000000000001</v>
      </c>
      <c r="CQ27">
        <f t="shared" si="1"/>
        <v>0.27882000000000001</v>
      </c>
      <c r="CR27">
        <f t="shared" si="1"/>
        <v>0.25318000000000002</v>
      </c>
      <c r="CS27">
        <f t="shared" si="1"/>
        <v>0.22674</v>
      </c>
      <c r="CT27">
        <f t="shared" si="1"/>
        <v>0.19949999999999998</v>
      </c>
      <c r="CU27">
        <f t="shared" si="1"/>
        <v>0.17147999999999999</v>
      </c>
      <c r="CV27">
        <f t="shared" si="1"/>
        <v>0.14274000000000001</v>
      </c>
    </row>
    <row r="28" spans="1:100" ht="15" x14ac:dyDescent="0.25">
      <c r="C28" s="11" t="s">
        <v>80</v>
      </c>
      <c r="D28" s="10">
        <f>($C$27-$C$29)/($C$30-$C$29)</f>
        <v>0.19999999999999987</v>
      </c>
      <c r="E28">
        <f>(E$30-E$29)*$D$28</f>
        <v>-1.7200000000000093E-3</v>
      </c>
      <c r="F28">
        <f t="shared" ref="F28:BQ28" si="2">(F$30-F$29)*$D$28</f>
        <v>-1.6199999999999982E-3</v>
      </c>
      <c r="G28">
        <f t="shared" si="2"/>
        <v>-1.5199999999999871E-3</v>
      </c>
      <c r="H28">
        <f t="shared" si="2"/>
        <v>-1.4199999999999981E-3</v>
      </c>
      <c r="I28">
        <f t="shared" si="2"/>
        <v>-1.319999999999987E-3</v>
      </c>
      <c r="J28">
        <f t="shared" si="2"/>
        <v>-1.219999999999998E-3</v>
      </c>
      <c r="K28">
        <f t="shared" si="2"/>
        <v>-1.1200000000000092E-3</v>
      </c>
      <c r="L28">
        <f t="shared" si="2"/>
        <v>-1.0199999999999981E-3</v>
      </c>
      <c r="M28">
        <f t="shared" si="2"/>
        <v>-9.1999999999998691E-4</v>
      </c>
      <c r="N28">
        <f t="shared" si="2"/>
        <v>-8.2000000000002015E-4</v>
      </c>
      <c r="O28">
        <f t="shared" si="2"/>
        <v>-7.2000000000000904E-4</v>
      </c>
      <c r="P28">
        <f t="shared" si="2"/>
        <v>-6.1999999999999794E-4</v>
      </c>
      <c r="Q28">
        <f t="shared" si="2"/>
        <v>-5.2000000000000906E-4</v>
      </c>
      <c r="R28">
        <f t="shared" si="2"/>
        <v>-4.0000000000000007E-4</v>
      </c>
      <c r="S28">
        <f t="shared" si="2"/>
        <v>-2.5999999999999342E-4</v>
      </c>
      <c r="T28">
        <f t="shared" si="2"/>
        <v>-1.1999999999998671E-4</v>
      </c>
      <c r="U28">
        <f t="shared" si="2"/>
        <v>0</v>
      </c>
      <c r="V28">
        <f t="shared" si="2"/>
        <v>0</v>
      </c>
      <c r="W28">
        <f t="shared" si="2"/>
        <v>0</v>
      </c>
      <c r="X28">
        <f t="shared" si="2"/>
        <v>0</v>
      </c>
      <c r="Y28">
        <f t="shared" si="2"/>
        <v>0</v>
      </c>
      <c r="Z28">
        <f t="shared" si="2"/>
        <v>0</v>
      </c>
      <c r="AA28">
        <f t="shared" si="2"/>
        <v>0</v>
      </c>
      <c r="AB28">
        <f t="shared" si="2"/>
        <v>1.9999999999997786E-5</v>
      </c>
      <c r="AC28">
        <f t="shared" si="2"/>
        <v>5.9999999999993354E-5</v>
      </c>
      <c r="AD28">
        <f t="shared" si="2"/>
        <v>1.1999999999998671E-4</v>
      </c>
      <c r="AE28">
        <f t="shared" si="2"/>
        <v>1.6000000000000449E-4</v>
      </c>
      <c r="AF28">
        <f t="shared" si="2"/>
        <v>2.0000000000000004E-4</v>
      </c>
      <c r="AG28">
        <f t="shared" si="2"/>
        <v>2.3999999999999562E-4</v>
      </c>
      <c r="AH28">
        <f t="shared" si="2"/>
        <v>2.3999999999999562E-4</v>
      </c>
      <c r="AI28">
        <f t="shared" si="2"/>
        <v>2.7999999999999119E-4</v>
      </c>
      <c r="AJ28">
        <f t="shared" si="2"/>
        <v>3.000000000000112E-4</v>
      </c>
      <c r="AK28">
        <f t="shared" si="2"/>
        <v>3.2000000000000897E-4</v>
      </c>
      <c r="AL28">
        <f t="shared" si="2"/>
        <v>3.3999999999998452E-4</v>
      </c>
      <c r="AM28">
        <f t="shared" si="2"/>
        <v>3.4000000000000675E-4</v>
      </c>
      <c r="AN28">
        <f t="shared" si="2"/>
        <v>3.4000000000000675E-4</v>
      </c>
      <c r="AO28">
        <f t="shared" si="2"/>
        <v>3.2000000000000897E-4</v>
      </c>
      <c r="AP28">
        <f t="shared" si="2"/>
        <v>3.2000000000000897E-4</v>
      </c>
      <c r="AQ28">
        <f t="shared" si="2"/>
        <v>2.9999999999998897E-4</v>
      </c>
      <c r="AR28">
        <f t="shared" si="2"/>
        <v>2.8000000000001342E-4</v>
      </c>
      <c r="AS28">
        <f t="shared" si="2"/>
        <v>2.4000000000001781E-4</v>
      </c>
      <c r="AT28">
        <f t="shared" si="2"/>
        <v>2.1999999999999784E-4</v>
      </c>
      <c r="AU28">
        <f t="shared" si="2"/>
        <v>1.8000000000000226E-4</v>
      </c>
      <c r="AV28">
        <f t="shared" si="2"/>
        <v>1.4000000000000671E-4</v>
      </c>
      <c r="AW28">
        <f t="shared" si="2"/>
        <v>1.0000000000001113E-4</v>
      </c>
      <c r="AX28">
        <f t="shared" si="2"/>
        <v>6.000000000001556E-5</v>
      </c>
      <c r="AY28">
        <f t="shared" si="2"/>
        <v>6.000000000001556E-5</v>
      </c>
      <c r="AZ28">
        <f t="shared" si="2"/>
        <v>1.9999999999997786E-5</v>
      </c>
      <c r="BA28">
        <f t="shared" si="2"/>
        <v>0</v>
      </c>
      <c r="BB28">
        <f t="shared" si="2"/>
        <v>-4.0000000000017771E-5</v>
      </c>
      <c r="BC28">
        <f t="shared" si="2"/>
        <v>-6.000000000001556E-5</v>
      </c>
      <c r="BD28">
        <f t="shared" si="2"/>
        <v>-1.0000000000001113E-4</v>
      </c>
      <c r="BE28">
        <f t="shared" si="2"/>
        <v>-1.2000000000000891E-4</v>
      </c>
      <c r="BF28">
        <f t="shared" si="2"/>
        <v>-1.6000000000000449E-4</v>
      </c>
      <c r="BG28">
        <f t="shared" si="2"/>
        <v>-1.8000000000000226E-4</v>
      </c>
      <c r="BH28">
        <f t="shared" si="2"/>
        <v>-2.1999999999999784E-4</v>
      </c>
      <c r="BI28">
        <f t="shared" si="2"/>
        <v>-2.1999999999999784E-4</v>
      </c>
      <c r="BJ28">
        <f t="shared" si="2"/>
        <v>-2.3999999999999562E-4</v>
      </c>
      <c r="BK28">
        <f t="shared" si="2"/>
        <v>-2.8000000000001342E-4</v>
      </c>
      <c r="BL28">
        <f t="shared" si="2"/>
        <v>-3.000000000000112E-4</v>
      </c>
      <c r="BM28">
        <f t="shared" si="2"/>
        <v>-3.4000000000000675E-4</v>
      </c>
      <c r="BN28">
        <f t="shared" si="2"/>
        <v>-3.6000000000000452E-4</v>
      </c>
      <c r="BO28">
        <f t="shared" si="2"/>
        <v>-4.0000000000000007E-4</v>
      </c>
      <c r="BP28">
        <f t="shared" si="2"/>
        <v>-4.199999999999979E-4</v>
      </c>
      <c r="BQ28">
        <f t="shared" si="2"/>
        <v>-4.5999999999999345E-4</v>
      </c>
      <c r="BR28">
        <f t="shared" ref="BR28:CV28" si="3">(BR$30-BR$29)*$D$28</f>
        <v>-4.5999999999999345E-4</v>
      </c>
      <c r="BS28">
        <f t="shared" si="3"/>
        <v>-4.9999999999998906E-4</v>
      </c>
      <c r="BT28">
        <f t="shared" si="3"/>
        <v>-5.2000000000000906E-4</v>
      </c>
      <c r="BU28">
        <f t="shared" si="3"/>
        <v>-5.6000000000000461E-4</v>
      </c>
      <c r="BV28">
        <f t="shared" si="3"/>
        <v>-5.8000000000000239E-4</v>
      </c>
      <c r="BW28">
        <f t="shared" si="3"/>
        <v>-6.1999999999999794E-4</v>
      </c>
      <c r="BX28">
        <f t="shared" si="3"/>
        <v>-6.1999999999999794E-4</v>
      </c>
      <c r="BY28">
        <f t="shared" si="3"/>
        <v>-6.0000000000000016E-4</v>
      </c>
      <c r="BZ28">
        <f t="shared" si="3"/>
        <v>-5.8000000000000239E-4</v>
      </c>
      <c r="CA28">
        <f t="shared" si="3"/>
        <v>-6.0000000000000016E-4</v>
      </c>
      <c r="CB28">
        <f t="shared" si="3"/>
        <v>-5.8000000000000239E-4</v>
      </c>
      <c r="CC28">
        <f t="shared" si="3"/>
        <v>-5.8000000000000239E-4</v>
      </c>
      <c r="CD28">
        <f t="shared" si="3"/>
        <v>-5.8000000000000239E-4</v>
      </c>
      <c r="CE28">
        <f t="shared" si="3"/>
        <v>-5.8000000000000239E-4</v>
      </c>
      <c r="CF28">
        <f t="shared" si="3"/>
        <v>-5.8000000000000239E-4</v>
      </c>
      <c r="CG28">
        <f t="shared" si="3"/>
        <v>-6.0000000000000016E-4</v>
      </c>
      <c r="CH28">
        <f t="shared" si="3"/>
        <v>-6.0000000000000016E-4</v>
      </c>
      <c r="CI28">
        <f t="shared" si="3"/>
        <v>-6.1999999999999794E-4</v>
      </c>
      <c r="CJ28">
        <f t="shared" si="3"/>
        <v>-6.3999999999999572E-4</v>
      </c>
      <c r="CK28">
        <f t="shared" si="3"/>
        <v>-6.3999999999999572E-4</v>
      </c>
      <c r="CL28">
        <f t="shared" si="3"/>
        <v>-6.5999999999999349E-4</v>
      </c>
      <c r="CM28">
        <f t="shared" si="3"/>
        <v>-6.6000000000000466E-4</v>
      </c>
      <c r="CN28">
        <f t="shared" si="3"/>
        <v>-7.0000000000000021E-4</v>
      </c>
      <c r="CO28">
        <f t="shared" si="3"/>
        <v>-7.1999999999999799E-4</v>
      </c>
      <c r="CP28">
        <f t="shared" si="3"/>
        <v>-7.5999999999999354E-4</v>
      </c>
      <c r="CQ28">
        <f t="shared" si="3"/>
        <v>-7.8000000000000237E-4</v>
      </c>
      <c r="CR28">
        <f t="shared" si="3"/>
        <v>-8.1999999999999803E-4</v>
      </c>
      <c r="CS28">
        <f t="shared" si="3"/>
        <v>-8.5999999999999911E-4</v>
      </c>
      <c r="CT28">
        <f t="shared" si="3"/>
        <v>-9.0000000000000019E-4</v>
      </c>
      <c r="CU28">
        <f t="shared" si="3"/>
        <v>-9.1999999999999797E-4</v>
      </c>
      <c r="CV28">
        <f t="shared" si="3"/>
        <v>-9.5999999999999916E-4</v>
      </c>
    </row>
    <row r="29" spans="1:100" x14ac:dyDescent="0.2">
      <c r="B29" t="s">
        <v>78</v>
      </c>
      <c r="C29">
        <f>INDEX(C$2:C$22,MATCH(C$27,C$2:C$22,1),1)</f>
        <v>12</v>
      </c>
      <c r="D29">
        <f>INDEX(C$2:D$22,MATCH(C$27,C$2:C$22,1),2)</f>
        <v>1922.9999999999998</v>
      </c>
      <c r="E29">
        <f>INDEX(Table1[[dist(km)]:[100]],MATCH($C$27,Distances,1),E$26-2)</f>
        <v>0.68130000000000002</v>
      </c>
      <c r="F29">
        <f>INDEX(Table1[[dist(km)]:[100]],MATCH($C$27,Distances,1),F$26-2)</f>
        <v>0.71509999999999996</v>
      </c>
      <c r="G29">
        <f>INDEX(Table1[[dist(km)]:[100]],MATCH($C$27,Distances,1),G$26-2)</f>
        <v>0.74709999999999999</v>
      </c>
      <c r="H29">
        <f>INDEX(Table1[[dist(km)]:[100]],MATCH($C$27,Distances,1),H$26-2)</f>
        <v>0.7772</v>
      </c>
      <c r="I29">
        <f>INDEX(Table1[[dist(km)]:[100]],MATCH($C$27,Distances,1),I$26-2)</f>
        <v>0.80549999999999999</v>
      </c>
      <c r="J29">
        <f>INDEX(Table1[[dist(km)]:[100]],MATCH($C$27,Distances,1),J$26-2)</f>
        <v>0.83209999999999995</v>
      </c>
      <c r="K29">
        <f>INDEX(Table1[[dist(km)]:[100]],MATCH($C$27,Distances,1),K$26-2)</f>
        <v>0.85670000000000002</v>
      </c>
      <c r="L29">
        <f>INDEX(Table1[[dist(km)]:[100]],MATCH($C$27,Distances,1),L$26-2)</f>
        <v>0.87960000000000005</v>
      </c>
      <c r="M29">
        <f>INDEX(Table1[[dist(km)]:[100]],MATCH($C$27,Distances,1),M$26-2)</f>
        <v>0.90069999999999995</v>
      </c>
      <c r="N29">
        <f>INDEX(Table1[[dist(km)]:[100]],MATCH($C$27,Distances,1),N$26-2)</f>
        <v>0.91990000000000005</v>
      </c>
      <c r="O29">
        <f>INDEX(Table1[[dist(km)]:[100]],MATCH($C$27,Distances,1),O$26-2)</f>
        <v>0.93730000000000002</v>
      </c>
      <c r="P29">
        <f>INDEX(Table1[[dist(km)]:[100]],MATCH($C$27,Distances,1),P$26-2)</f>
        <v>0.95379999999999998</v>
      </c>
      <c r="Q29">
        <f>INDEX(Table1[[dist(km)]:[100]],MATCH($C$27,Distances,1),Q$26-2)</f>
        <v>0.97030000000000005</v>
      </c>
      <c r="R29">
        <f>INDEX(Table1[[dist(km)]:[100]],MATCH($C$27,Distances,1),R$26-2)</f>
        <v>0.98450000000000004</v>
      </c>
      <c r="S29">
        <f>INDEX(Table1[[dist(km)]:[100]],MATCH($C$27,Distances,1),S$26-2)</f>
        <v>0.99409999999999998</v>
      </c>
      <c r="T29">
        <f>INDEX(Table1[[dist(km)]:[100]],MATCH($C$27,Distances,1),T$26-2)</f>
        <v>0.99919999999999998</v>
      </c>
      <c r="U29">
        <f>INDEX(Table1[[dist(km)]:[100]],MATCH($C$27,Distances,1),U$26-2)</f>
        <v>1</v>
      </c>
      <c r="V29">
        <f>INDEX(Table1[[dist(km)]:[100]],MATCH($C$27,Distances,1),V$26-2)</f>
        <v>1</v>
      </c>
      <c r="W29">
        <f>INDEX(Table1[[dist(km)]:[100]],MATCH($C$27,Distances,1),W$26-2)</f>
        <v>1</v>
      </c>
      <c r="X29">
        <f>INDEX(Table1[[dist(km)]:[100]],MATCH($C$27,Distances,1),X$26-2)</f>
        <v>1</v>
      </c>
      <c r="Y29">
        <f>INDEX(Table1[[dist(km)]:[100]],MATCH($C$27,Distances,1),Y$26-2)</f>
        <v>1</v>
      </c>
      <c r="Z29">
        <f>INDEX(Table1[[dist(km)]:[100]],MATCH($C$27,Distances,1),Z$26-2)</f>
        <v>1</v>
      </c>
      <c r="AA29">
        <f>INDEX(Table1[[dist(km)]:[100]],MATCH($C$27,Distances,1),AA$26-2)</f>
        <v>1</v>
      </c>
      <c r="AB29">
        <f>INDEX(Table1[[dist(km)]:[100]],MATCH($C$27,Distances,1),AB$26-2)</f>
        <v>0.99990000000000001</v>
      </c>
      <c r="AC29">
        <f>INDEX(Table1[[dist(km)]:[100]],MATCH($C$27,Distances,1),AC$26-2)</f>
        <v>0.99950000000000006</v>
      </c>
      <c r="AD29">
        <f>INDEX(Table1[[dist(km)]:[100]],MATCH($C$27,Distances,1),AD$26-2)</f>
        <v>0.99850000000000005</v>
      </c>
      <c r="AE29">
        <f>INDEX(Table1[[dist(km)]:[100]],MATCH($C$27,Distances,1),AE$26-2)</f>
        <v>0.99709999999999999</v>
      </c>
      <c r="AF29">
        <f>INDEX(Table1[[dist(km)]:[100]],MATCH($C$27,Distances,1),AF$26-2)</f>
        <v>0.99529999999999996</v>
      </c>
      <c r="AG29">
        <f>INDEX(Table1[[dist(km)]:[100]],MATCH($C$27,Distances,1),AG$26-2)</f>
        <v>0.9929</v>
      </c>
      <c r="AH29">
        <f>INDEX(Table1[[dist(km)]:[100]],MATCH($C$27,Distances,1),AH$26-2)</f>
        <v>0.99019999999999997</v>
      </c>
      <c r="AI29">
        <f>INDEX(Table1[[dist(km)]:[100]],MATCH($C$27,Distances,1),AI$26-2)</f>
        <v>0.9869</v>
      </c>
      <c r="AJ29">
        <f>INDEX(Table1[[dist(km)]:[100]],MATCH($C$27,Distances,1),AJ$26-2)</f>
        <v>0.98319999999999996</v>
      </c>
      <c r="AK29">
        <f>INDEX(Table1[[dist(km)]:[100]],MATCH($C$27,Distances,1),AK$26-2)</f>
        <v>0.97899999999999998</v>
      </c>
      <c r="AL29">
        <f>INDEX(Table1[[dist(km)]:[100]],MATCH($C$27,Distances,1),AL$26-2)</f>
        <v>0.97430000000000005</v>
      </c>
      <c r="AM29">
        <f>INDEX(Table1[[dist(km)]:[100]],MATCH($C$27,Distances,1),AM$26-2)</f>
        <v>0.96919999999999995</v>
      </c>
      <c r="AN29">
        <f>INDEX(Table1[[dist(km)]:[100]],MATCH($C$27,Distances,1),AN$26-2)</f>
        <v>0.96360000000000001</v>
      </c>
      <c r="AO29">
        <f>INDEX(Table1[[dist(km)]:[100]],MATCH($C$27,Distances,1),AO$26-2)</f>
        <v>0.95760000000000001</v>
      </c>
      <c r="AP29">
        <f>INDEX(Table1[[dist(km)]:[100]],MATCH($C$27,Distances,1),AP$26-2)</f>
        <v>0.95109999999999995</v>
      </c>
      <c r="AQ29">
        <f>INDEX(Table1[[dist(km)]:[100]],MATCH($C$27,Distances,1),AQ$26-2)</f>
        <v>0.94410000000000005</v>
      </c>
      <c r="AR29">
        <f>INDEX(Table1[[dist(km)]:[100]],MATCH($C$27,Distances,1),AR$26-2)</f>
        <v>0.93669999999999998</v>
      </c>
      <c r="AS29">
        <f>INDEX(Table1[[dist(km)]:[100]],MATCH($C$27,Distances,1),AS$26-2)</f>
        <v>0.92879999999999996</v>
      </c>
      <c r="AT29">
        <f>INDEX(Table1[[dist(km)]:[100]],MATCH($C$27,Distances,1),AT$26-2)</f>
        <v>0.9204</v>
      </c>
      <c r="AU29">
        <f>INDEX(Table1[[dist(km)]:[100]],MATCH($C$27,Distances,1),AU$26-2)</f>
        <v>0.91159999999999997</v>
      </c>
      <c r="AV29">
        <f>INDEX(Table1[[dist(km)]:[100]],MATCH($C$27,Distances,1),AV$26-2)</f>
        <v>0.90229999999999999</v>
      </c>
      <c r="AW29">
        <f>INDEX(Table1[[dist(km)]:[100]],MATCH($C$27,Distances,1),AW$26-2)</f>
        <v>0.89249999999999996</v>
      </c>
      <c r="AX29">
        <f>INDEX(Table1[[dist(km)]:[100]],MATCH($C$27,Distances,1),AX$26-2)</f>
        <v>0.88249999999999995</v>
      </c>
      <c r="AY29">
        <f>INDEX(Table1[[dist(km)]:[100]],MATCH($C$27,Distances,1),AY$26-2)</f>
        <v>0.87239999999999995</v>
      </c>
      <c r="AZ29">
        <f>INDEX(Table1[[dist(km)]:[100]],MATCH($C$27,Distances,1),AZ$26-2)</f>
        <v>0.86240000000000006</v>
      </c>
      <c r="BA29">
        <f>INDEX(Table1[[dist(km)]:[100]],MATCH($C$27,Distances,1),BA$26-2)</f>
        <v>0.85229999999999995</v>
      </c>
      <c r="BB29">
        <f>INDEX(Table1[[dist(km)]:[100]],MATCH($C$27,Distances,1),BB$26-2)</f>
        <v>0.84230000000000005</v>
      </c>
      <c r="BC29">
        <f>INDEX(Table1[[dist(km)]:[100]],MATCH($C$27,Distances,1),BC$26-2)</f>
        <v>0.83220000000000005</v>
      </c>
      <c r="BD29">
        <f>INDEX(Table1[[dist(km)]:[100]],MATCH($C$27,Distances,1),BD$26-2)</f>
        <v>0.82220000000000004</v>
      </c>
      <c r="BE29">
        <f>INDEX(Table1[[dist(km)]:[100]],MATCH($C$27,Distances,1),BE$26-2)</f>
        <v>0.81210000000000004</v>
      </c>
      <c r="BF29">
        <f>INDEX(Table1[[dist(km)]:[100]],MATCH($C$27,Distances,1),BF$26-2)</f>
        <v>0.80210000000000004</v>
      </c>
      <c r="BG29">
        <f>INDEX(Table1[[dist(km)]:[100]],MATCH($C$27,Distances,1),BG$26-2)</f>
        <v>0.79200000000000004</v>
      </c>
      <c r="BH29">
        <f>INDEX(Table1[[dist(km)]:[100]],MATCH($C$27,Distances,1),BH$26-2)</f>
        <v>0.78200000000000003</v>
      </c>
      <c r="BI29">
        <f>INDEX(Table1[[dist(km)]:[100]],MATCH($C$27,Distances,1),BI$26-2)</f>
        <v>0.77190000000000003</v>
      </c>
      <c r="BJ29">
        <f>INDEX(Table1[[dist(km)]:[100]],MATCH($C$27,Distances,1),BJ$26-2)</f>
        <v>0.76180000000000003</v>
      </c>
      <c r="BK29">
        <f>INDEX(Table1[[dist(km)]:[100]],MATCH($C$27,Distances,1),BK$26-2)</f>
        <v>0.75180000000000002</v>
      </c>
      <c r="BL29">
        <f>INDEX(Table1[[dist(km)]:[100]],MATCH($C$27,Distances,1),BL$26-2)</f>
        <v>0.74170000000000003</v>
      </c>
      <c r="BM29">
        <f>INDEX(Table1[[dist(km)]:[100]],MATCH($C$27,Distances,1),BM$26-2)</f>
        <v>0.73170000000000002</v>
      </c>
      <c r="BN29">
        <f>INDEX(Table1[[dist(km)]:[100]],MATCH($C$27,Distances,1),BN$26-2)</f>
        <v>0.72160000000000002</v>
      </c>
      <c r="BO29">
        <f>INDEX(Table1[[dist(km)]:[100]],MATCH($C$27,Distances,1),BO$26-2)</f>
        <v>0.71160000000000001</v>
      </c>
      <c r="BP29">
        <f>INDEX(Table1[[dist(km)]:[100]],MATCH($C$27,Distances,1),BP$26-2)</f>
        <v>0.70150000000000001</v>
      </c>
      <c r="BQ29">
        <f>INDEX(Table1[[dist(km)]:[100]],MATCH($C$27,Distances,1),BQ$26-2)</f>
        <v>0.6915</v>
      </c>
      <c r="BR29">
        <f>INDEX(Table1[[dist(km)]:[100]],MATCH($C$27,Distances,1),BR$26-2)</f>
        <v>0.68140000000000001</v>
      </c>
      <c r="BS29">
        <f>INDEX(Table1[[dist(km)]:[100]],MATCH($C$27,Distances,1),BS$26-2)</f>
        <v>0.6714</v>
      </c>
      <c r="BT29">
        <f>INDEX(Table1[[dist(km)]:[100]],MATCH($C$27,Distances,1),BT$26-2)</f>
        <v>0.6613</v>
      </c>
      <c r="BU29">
        <f>INDEX(Table1[[dist(km)]:[100]],MATCH($C$27,Distances,1),BU$26-2)</f>
        <v>0.65129999999999999</v>
      </c>
      <c r="BV29">
        <f>INDEX(Table1[[dist(km)]:[100]],MATCH($C$27,Distances,1),BV$26-2)</f>
        <v>0.64119999999999999</v>
      </c>
      <c r="BW29">
        <f>INDEX(Table1[[dist(km)]:[100]],MATCH($C$27,Distances,1),BW$26-2)</f>
        <v>0.63119999999999998</v>
      </c>
      <c r="BX29">
        <f>INDEX(Table1[[dist(km)]:[100]],MATCH($C$27,Distances,1),BX$26-2)</f>
        <v>0.62090000000000001</v>
      </c>
      <c r="BY29">
        <f>INDEX(Table1[[dist(km)]:[100]],MATCH($C$27,Distances,1),BY$26-2)</f>
        <v>0.60980000000000001</v>
      </c>
      <c r="BZ29">
        <f>INDEX(Table1[[dist(km)]:[100]],MATCH($C$27,Distances,1),BZ$26-2)</f>
        <v>0.59799999999999998</v>
      </c>
      <c r="CA29">
        <f>INDEX(Table1[[dist(km)]:[100]],MATCH($C$27,Distances,1),CA$26-2)</f>
        <v>0.58550000000000002</v>
      </c>
      <c r="CB29">
        <f>INDEX(Table1[[dist(km)]:[100]],MATCH($C$27,Distances,1),CB$26-2)</f>
        <v>0.57210000000000005</v>
      </c>
      <c r="CC29">
        <f>INDEX(Table1[[dist(km)]:[100]],MATCH($C$27,Distances,1),CC$26-2)</f>
        <v>0.55800000000000005</v>
      </c>
      <c r="CD29">
        <f>INDEX(Table1[[dist(km)]:[100]],MATCH($C$27,Distances,1),CD$26-2)</f>
        <v>0.54310000000000003</v>
      </c>
      <c r="CE29">
        <f>INDEX(Table1[[dist(km)]:[100]],MATCH($C$27,Distances,1),CE$26-2)</f>
        <v>0.52749999999999997</v>
      </c>
      <c r="CF29">
        <f>INDEX(Table1[[dist(km)]:[100]],MATCH($C$27,Distances,1),CF$26-2)</f>
        <v>0.51100000000000001</v>
      </c>
      <c r="CG29">
        <f>INDEX(Table1[[dist(km)]:[100]],MATCH($C$27,Distances,1),CG$26-2)</f>
        <v>0.49390000000000001</v>
      </c>
      <c r="CH29">
        <f>INDEX(Table1[[dist(km)]:[100]],MATCH($C$27,Distances,1),CH$26-2)</f>
        <v>0.47589999999999999</v>
      </c>
      <c r="CI29">
        <f>INDEX(Table1[[dist(km)]:[100]],MATCH($C$27,Distances,1),CI$26-2)</f>
        <v>0.4572</v>
      </c>
      <c r="CJ29">
        <f>INDEX(Table1[[dist(km)]:[100]],MATCH($C$27,Distances,1),CJ$26-2)</f>
        <v>0.43769999999999998</v>
      </c>
      <c r="CK29">
        <f>INDEX(Table1[[dist(km)]:[100]],MATCH($C$27,Distances,1),CK$26-2)</f>
        <v>0.41739999999999999</v>
      </c>
      <c r="CL29">
        <f>INDEX(Table1[[dist(km)]:[100]],MATCH($C$27,Distances,1),CL$26-2)</f>
        <v>0.39639999999999997</v>
      </c>
      <c r="CM29">
        <f>INDEX(Table1[[dist(km)]:[100]],MATCH($C$27,Distances,1),CM$26-2)</f>
        <v>0.3745</v>
      </c>
      <c r="CN29">
        <f>INDEX(Table1[[dist(km)]:[100]],MATCH($C$27,Distances,1),CN$26-2)</f>
        <v>0.35199999999999998</v>
      </c>
      <c r="CO29">
        <f>INDEX(Table1[[dist(km)]:[100]],MATCH($C$27,Distances,1),CO$26-2)</f>
        <v>0.3286</v>
      </c>
      <c r="CP29">
        <f>INDEX(Table1[[dist(km)]:[100]],MATCH($C$27,Distances,1),CP$26-2)</f>
        <v>0.30449999999999999</v>
      </c>
      <c r="CQ29">
        <f>INDEX(Table1[[dist(km)]:[100]],MATCH($C$27,Distances,1),CQ$26-2)</f>
        <v>0.27960000000000002</v>
      </c>
      <c r="CR29">
        <f>INDEX(Table1[[dist(km)]:[100]],MATCH($C$27,Distances,1),CR$26-2)</f>
        <v>0.254</v>
      </c>
      <c r="CS29">
        <f>INDEX(Table1[[dist(km)]:[100]],MATCH($C$27,Distances,1),CS$26-2)</f>
        <v>0.2276</v>
      </c>
      <c r="CT29">
        <f>INDEX(Table1[[dist(km)]:[100]],MATCH($C$27,Distances,1),CT$26-2)</f>
        <v>0.20039999999999999</v>
      </c>
      <c r="CU29">
        <f>INDEX(Table1[[dist(km)]:[100]],MATCH($C$27,Distances,1),CU$26-2)</f>
        <v>0.1724</v>
      </c>
      <c r="CV29">
        <f>INDEX(Table1[[dist(km)]:[100]],MATCH($C$27,Distances,1),CV$26-2)</f>
        <v>0.14369999999999999</v>
      </c>
    </row>
    <row r="30" spans="1:100" x14ac:dyDescent="0.2">
      <c r="B30" t="s">
        <v>79</v>
      </c>
      <c r="C30">
        <f>INDEX(C$2:C$22,MATCH(C$27,C$2:C$22,1)+1,1)</f>
        <v>15</v>
      </c>
      <c r="D30">
        <f>INDEX(C$2:D$22,MATCH(C$27,C$2:C$22,1)+1,2)</f>
        <v>2435.9999999999995</v>
      </c>
      <c r="E30">
        <f>INDEX(Table1[[dist(km)]:[100]],MATCH($C$27,Distances,1)+1,E$26-2)</f>
        <v>0.67269999999999996</v>
      </c>
      <c r="F30">
        <f>INDEX(Table1[[dist(km)]:[100]],MATCH($C$27,Distances,1)+1,F$26-2)</f>
        <v>0.70699999999999996</v>
      </c>
      <c r="G30">
        <f>INDEX(Table1[[dist(km)]:[100]],MATCH($C$27,Distances,1)+1,G$26-2)</f>
        <v>0.73950000000000005</v>
      </c>
      <c r="H30">
        <f>INDEX(Table1[[dist(km)]:[100]],MATCH($C$27,Distances,1)+1,H$26-2)</f>
        <v>0.77010000000000001</v>
      </c>
      <c r="I30">
        <f>INDEX(Table1[[dist(km)]:[100]],MATCH($C$27,Distances,1)+1,I$26-2)</f>
        <v>0.79890000000000005</v>
      </c>
      <c r="J30">
        <f>INDEX(Table1[[dist(km)]:[100]],MATCH($C$27,Distances,1)+1,J$26-2)</f>
        <v>0.82599999999999996</v>
      </c>
      <c r="K30">
        <f>INDEX(Table1[[dist(km)]:[100]],MATCH($C$27,Distances,1)+1,K$26-2)</f>
        <v>0.85109999999999997</v>
      </c>
      <c r="L30">
        <f>INDEX(Table1[[dist(km)]:[100]],MATCH($C$27,Distances,1)+1,L$26-2)</f>
        <v>0.87450000000000006</v>
      </c>
      <c r="M30">
        <f>INDEX(Table1[[dist(km)]:[100]],MATCH($C$27,Distances,1)+1,M$26-2)</f>
        <v>0.89610000000000001</v>
      </c>
      <c r="N30">
        <f>INDEX(Table1[[dist(km)]:[100]],MATCH($C$27,Distances,1)+1,N$26-2)</f>
        <v>0.91579999999999995</v>
      </c>
      <c r="O30">
        <f>INDEX(Table1[[dist(km)]:[100]],MATCH($C$27,Distances,1)+1,O$26-2)</f>
        <v>0.93369999999999997</v>
      </c>
      <c r="P30">
        <f>INDEX(Table1[[dist(km)]:[100]],MATCH($C$27,Distances,1)+1,P$26-2)</f>
        <v>0.95069999999999999</v>
      </c>
      <c r="Q30">
        <f>INDEX(Table1[[dist(km)]:[100]],MATCH($C$27,Distances,1)+1,Q$26-2)</f>
        <v>0.9677</v>
      </c>
      <c r="R30">
        <f>INDEX(Table1[[dist(km)]:[100]],MATCH($C$27,Distances,1)+1,R$26-2)</f>
        <v>0.98250000000000004</v>
      </c>
      <c r="S30">
        <f>INDEX(Table1[[dist(km)]:[100]],MATCH($C$27,Distances,1)+1,S$26-2)</f>
        <v>0.99280000000000002</v>
      </c>
      <c r="T30">
        <f>INDEX(Table1[[dist(km)]:[100]],MATCH($C$27,Distances,1)+1,T$26-2)</f>
        <v>0.99860000000000004</v>
      </c>
      <c r="U30">
        <f>INDEX(Table1[[dist(km)]:[100]],MATCH($C$27,Distances,1)+1,U$26-2)</f>
        <v>1</v>
      </c>
      <c r="V30">
        <f>INDEX(Table1[[dist(km)]:[100]],MATCH($C$27,Distances,1)+1,V$26-2)</f>
        <v>1</v>
      </c>
      <c r="W30">
        <f>INDEX(Table1[[dist(km)]:[100]],MATCH($C$27,Distances,1)+1,W$26-2)</f>
        <v>1</v>
      </c>
      <c r="X30">
        <f>INDEX(Table1[[dist(km)]:[100]],MATCH($C$27,Distances,1)+1,X$26-2)</f>
        <v>1</v>
      </c>
      <c r="Y30">
        <f>INDEX(Table1[[dist(km)]:[100]],MATCH($C$27,Distances,1)+1,Y$26-2)</f>
        <v>1</v>
      </c>
      <c r="Z30">
        <f>INDEX(Table1[[dist(km)]:[100]],MATCH($C$27,Distances,1)+1,Z$26-2)</f>
        <v>1</v>
      </c>
      <c r="AA30">
        <f>INDEX(Table1[[dist(km)]:[100]],MATCH($C$27,Distances,1)+1,AA$26-2)</f>
        <v>1</v>
      </c>
      <c r="AB30">
        <f>INDEX(Table1[[dist(km)]:[100]],MATCH($C$27,Distances,1)+1,AB$26-2)</f>
        <v>1</v>
      </c>
      <c r="AC30">
        <f>INDEX(Table1[[dist(km)]:[100]],MATCH($C$27,Distances,1)+1,AC$26-2)</f>
        <v>0.99980000000000002</v>
      </c>
      <c r="AD30">
        <f>INDEX(Table1[[dist(km)]:[100]],MATCH($C$27,Distances,1)+1,AD$26-2)</f>
        <v>0.99909999999999999</v>
      </c>
      <c r="AE30">
        <f>INDEX(Table1[[dist(km)]:[100]],MATCH($C$27,Distances,1)+1,AE$26-2)</f>
        <v>0.99790000000000001</v>
      </c>
      <c r="AF30">
        <f>INDEX(Table1[[dist(km)]:[100]],MATCH($C$27,Distances,1)+1,AF$26-2)</f>
        <v>0.99629999999999996</v>
      </c>
      <c r="AG30">
        <f>INDEX(Table1[[dist(km)]:[100]],MATCH($C$27,Distances,1)+1,AG$26-2)</f>
        <v>0.99409999999999998</v>
      </c>
      <c r="AH30">
        <f>INDEX(Table1[[dist(km)]:[100]],MATCH($C$27,Distances,1)+1,AH$26-2)</f>
        <v>0.99139999999999995</v>
      </c>
      <c r="AI30">
        <f>INDEX(Table1[[dist(km)]:[100]],MATCH($C$27,Distances,1)+1,AI$26-2)</f>
        <v>0.98829999999999996</v>
      </c>
      <c r="AJ30">
        <f>INDEX(Table1[[dist(km)]:[100]],MATCH($C$27,Distances,1)+1,AJ$26-2)</f>
        <v>0.98470000000000002</v>
      </c>
      <c r="AK30">
        <f>INDEX(Table1[[dist(km)]:[100]],MATCH($C$27,Distances,1)+1,AK$26-2)</f>
        <v>0.98060000000000003</v>
      </c>
      <c r="AL30">
        <f>INDEX(Table1[[dist(km)]:[100]],MATCH($C$27,Distances,1)+1,AL$26-2)</f>
        <v>0.97599999999999998</v>
      </c>
      <c r="AM30">
        <f>INDEX(Table1[[dist(km)]:[100]],MATCH($C$27,Distances,1)+1,AM$26-2)</f>
        <v>0.97089999999999999</v>
      </c>
      <c r="AN30">
        <f>INDEX(Table1[[dist(km)]:[100]],MATCH($C$27,Distances,1)+1,AN$26-2)</f>
        <v>0.96530000000000005</v>
      </c>
      <c r="AO30">
        <f>INDEX(Table1[[dist(km)]:[100]],MATCH($C$27,Distances,1)+1,AO$26-2)</f>
        <v>0.95920000000000005</v>
      </c>
      <c r="AP30">
        <f>INDEX(Table1[[dist(km)]:[100]],MATCH($C$27,Distances,1)+1,AP$26-2)</f>
        <v>0.95269999999999999</v>
      </c>
      <c r="AQ30">
        <f>INDEX(Table1[[dist(km)]:[100]],MATCH($C$27,Distances,1)+1,AQ$26-2)</f>
        <v>0.9456</v>
      </c>
      <c r="AR30">
        <f>INDEX(Table1[[dist(km)]:[100]],MATCH($C$27,Distances,1)+1,AR$26-2)</f>
        <v>0.93810000000000004</v>
      </c>
      <c r="AS30">
        <f>INDEX(Table1[[dist(km)]:[100]],MATCH($C$27,Distances,1)+1,AS$26-2)</f>
        <v>0.93</v>
      </c>
      <c r="AT30">
        <f>INDEX(Table1[[dist(km)]:[100]],MATCH($C$27,Distances,1)+1,AT$26-2)</f>
        <v>0.92149999999999999</v>
      </c>
      <c r="AU30">
        <f>INDEX(Table1[[dist(km)]:[100]],MATCH($C$27,Distances,1)+1,AU$26-2)</f>
        <v>0.91249999999999998</v>
      </c>
      <c r="AV30">
        <f>INDEX(Table1[[dist(km)]:[100]],MATCH($C$27,Distances,1)+1,AV$26-2)</f>
        <v>0.90300000000000002</v>
      </c>
      <c r="AW30">
        <f>INDEX(Table1[[dist(km)]:[100]],MATCH($C$27,Distances,1)+1,AW$26-2)</f>
        <v>0.89300000000000002</v>
      </c>
      <c r="AX30">
        <f>INDEX(Table1[[dist(km)]:[100]],MATCH($C$27,Distances,1)+1,AX$26-2)</f>
        <v>0.88280000000000003</v>
      </c>
      <c r="AY30">
        <f>INDEX(Table1[[dist(km)]:[100]],MATCH($C$27,Distances,1)+1,AY$26-2)</f>
        <v>0.87270000000000003</v>
      </c>
      <c r="AZ30">
        <f>INDEX(Table1[[dist(km)]:[100]],MATCH($C$27,Distances,1)+1,AZ$26-2)</f>
        <v>0.86250000000000004</v>
      </c>
      <c r="BA30">
        <f>INDEX(Table1[[dist(km)]:[100]],MATCH($C$27,Distances,1)+1,BA$26-2)</f>
        <v>0.85229999999999995</v>
      </c>
      <c r="BB30">
        <f>INDEX(Table1[[dist(km)]:[100]],MATCH($C$27,Distances,1)+1,BB$26-2)</f>
        <v>0.84209999999999996</v>
      </c>
      <c r="BC30">
        <f>INDEX(Table1[[dist(km)]:[100]],MATCH($C$27,Distances,1)+1,BC$26-2)</f>
        <v>0.83189999999999997</v>
      </c>
      <c r="BD30">
        <f>INDEX(Table1[[dist(km)]:[100]],MATCH($C$27,Distances,1)+1,BD$26-2)</f>
        <v>0.82169999999999999</v>
      </c>
      <c r="BE30">
        <f>INDEX(Table1[[dist(km)]:[100]],MATCH($C$27,Distances,1)+1,BE$26-2)</f>
        <v>0.8115</v>
      </c>
      <c r="BF30">
        <f>INDEX(Table1[[dist(km)]:[100]],MATCH($C$27,Distances,1)+1,BF$26-2)</f>
        <v>0.80130000000000001</v>
      </c>
      <c r="BG30">
        <f>INDEX(Table1[[dist(km)]:[100]],MATCH($C$27,Distances,1)+1,BG$26-2)</f>
        <v>0.79110000000000003</v>
      </c>
      <c r="BH30">
        <f>INDEX(Table1[[dist(km)]:[100]],MATCH($C$27,Distances,1)+1,BH$26-2)</f>
        <v>0.78090000000000004</v>
      </c>
      <c r="BI30">
        <f>INDEX(Table1[[dist(km)]:[100]],MATCH($C$27,Distances,1)+1,BI$26-2)</f>
        <v>0.77080000000000004</v>
      </c>
      <c r="BJ30">
        <f>INDEX(Table1[[dist(km)]:[100]],MATCH($C$27,Distances,1)+1,BJ$26-2)</f>
        <v>0.76060000000000005</v>
      </c>
      <c r="BK30">
        <f>INDEX(Table1[[dist(km)]:[100]],MATCH($C$27,Distances,1)+1,BK$26-2)</f>
        <v>0.75039999999999996</v>
      </c>
      <c r="BL30">
        <f>INDEX(Table1[[dist(km)]:[100]],MATCH($C$27,Distances,1)+1,BL$26-2)</f>
        <v>0.74019999999999997</v>
      </c>
      <c r="BM30">
        <f>INDEX(Table1[[dist(km)]:[100]],MATCH($C$27,Distances,1)+1,BM$26-2)</f>
        <v>0.73</v>
      </c>
      <c r="BN30">
        <f>INDEX(Table1[[dist(km)]:[100]],MATCH($C$27,Distances,1)+1,BN$26-2)</f>
        <v>0.7198</v>
      </c>
      <c r="BO30">
        <f>INDEX(Table1[[dist(km)]:[100]],MATCH($C$27,Distances,1)+1,BO$26-2)</f>
        <v>0.70960000000000001</v>
      </c>
      <c r="BP30">
        <f>INDEX(Table1[[dist(km)]:[100]],MATCH($C$27,Distances,1)+1,BP$26-2)</f>
        <v>0.69940000000000002</v>
      </c>
      <c r="BQ30">
        <f>INDEX(Table1[[dist(km)]:[100]],MATCH($C$27,Distances,1)+1,BQ$26-2)</f>
        <v>0.68920000000000003</v>
      </c>
      <c r="BR30">
        <f>INDEX(Table1[[dist(km)]:[100]],MATCH($C$27,Distances,1)+1,BR$26-2)</f>
        <v>0.67910000000000004</v>
      </c>
      <c r="BS30">
        <f>INDEX(Table1[[dist(km)]:[100]],MATCH($C$27,Distances,1)+1,BS$26-2)</f>
        <v>0.66890000000000005</v>
      </c>
      <c r="BT30">
        <f>INDEX(Table1[[dist(km)]:[100]],MATCH($C$27,Distances,1)+1,BT$26-2)</f>
        <v>0.65869999999999995</v>
      </c>
      <c r="BU30">
        <f>INDEX(Table1[[dist(km)]:[100]],MATCH($C$27,Distances,1)+1,BU$26-2)</f>
        <v>0.64849999999999997</v>
      </c>
      <c r="BV30">
        <f>INDEX(Table1[[dist(km)]:[100]],MATCH($C$27,Distances,1)+1,BV$26-2)</f>
        <v>0.63829999999999998</v>
      </c>
      <c r="BW30">
        <f>INDEX(Table1[[dist(km)]:[100]],MATCH($C$27,Distances,1)+1,BW$26-2)</f>
        <v>0.62809999999999999</v>
      </c>
      <c r="BX30">
        <f>INDEX(Table1[[dist(km)]:[100]],MATCH($C$27,Distances,1)+1,BX$26-2)</f>
        <v>0.61780000000000002</v>
      </c>
      <c r="BY30">
        <f>INDEX(Table1[[dist(km)]:[100]],MATCH($C$27,Distances,1)+1,BY$26-2)</f>
        <v>0.60680000000000001</v>
      </c>
      <c r="BZ30">
        <f>INDEX(Table1[[dist(km)]:[100]],MATCH($C$27,Distances,1)+1,BZ$26-2)</f>
        <v>0.59509999999999996</v>
      </c>
      <c r="CA30">
        <f>INDEX(Table1[[dist(km)]:[100]],MATCH($C$27,Distances,1)+1,CA$26-2)</f>
        <v>0.58250000000000002</v>
      </c>
      <c r="CB30">
        <f>INDEX(Table1[[dist(km)]:[100]],MATCH($C$27,Distances,1)+1,CB$26-2)</f>
        <v>0.56920000000000004</v>
      </c>
      <c r="CC30">
        <f>INDEX(Table1[[dist(km)]:[100]],MATCH($C$27,Distances,1)+1,CC$26-2)</f>
        <v>0.55510000000000004</v>
      </c>
      <c r="CD30">
        <f>INDEX(Table1[[dist(km)]:[100]],MATCH($C$27,Distances,1)+1,CD$26-2)</f>
        <v>0.54020000000000001</v>
      </c>
      <c r="CE30">
        <f>INDEX(Table1[[dist(km)]:[100]],MATCH($C$27,Distances,1)+1,CE$26-2)</f>
        <v>0.52459999999999996</v>
      </c>
      <c r="CF30">
        <f>INDEX(Table1[[dist(km)]:[100]],MATCH($C$27,Distances,1)+1,CF$26-2)</f>
        <v>0.5081</v>
      </c>
      <c r="CG30">
        <f>INDEX(Table1[[dist(km)]:[100]],MATCH($C$27,Distances,1)+1,CG$26-2)</f>
        <v>0.4909</v>
      </c>
      <c r="CH30">
        <f>INDEX(Table1[[dist(km)]:[100]],MATCH($C$27,Distances,1)+1,CH$26-2)</f>
        <v>0.47289999999999999</v>
      </c>
      <c r="CI30">
        <f>INDEX(Table1[[dist(km)]:[100]],MATCH($C$27,Distances,1)+1,CI$26-2)</f>
        <v>0.4541</v>
      </c>
      <c r="CJ30">
        <f>INDEX(Table1[[dist(km)]:[100]],MATCH($C$27,Distances,1)+1,CJ$26-2)</f>
        <v>0.4345</v>
      </c>
      <c r="CK30">
        <f>INDEX(Table1[[dist(km)]:[100]],MATCH($C$27,Distances,1)+1,CK$26-2)</f>
        <v>0.41420000000000001</v>
      </c>
      <c r="CL30">
        <f>INDEX(Table1[[dist(km)]:[100]],MATCH($C$27,Distances,1)+1,CL$26-2)</f>
        <v>0.3931</v>
      </c>
      <c r="CM30">
        <f>INDEX(Table1[[dist(km)]:[100]],MATCH($C$27,Distances,1)+1,CM$26-2)</f>
        <v>0.37119999999999997</v>
      </c>
      <c r="CN30">
        <f>INDEX(Table1[[dist(km)]:[100]],MATCH($C$27,Distances,1)+1,CN$26-2)</f>
        <v>0.34849999999999998</v>
      </c>
      <c r="CO30">
        <f>INDEX(Table1[[dist(km)]:[100]],MATCH($C$27,Distances,1)+1,CO$26-2)</f>
        <v>0.32500000000000001</v>
      </c>
      <c r="CP30">
        <f>INDEX(Table1[[dist(km)]:[100]],MATCH($C$27,Distances,1)+1,CP$26-2)</f>
        <v>0.30070000000000002</v>
      </c>
      <c r="CQ30">
        <f>INDEX(Table1[[dist(km)]:[100]],MATCH($C$27,Distances,1)+1,CQ$26-2)</f>
        <v>0.2757</v>
      </c>
      <c r="CR30">
        <f>INDEX(Table1[[dist(km)]:[100]],MATCH($C$27,Distances,1)+1,CR$26-2)</f>
        <v>0.24990000000000001</v>
      </c>
      <c r="CS30">
        <f>INDEX(Table1[[dist(km)]:[100]],MATCH($C$27,Distances,1)+1,CS$26-2)</f>
        <v>0.2233</v>
      </c>
      <c r="CT30">
        <f>INDEX(Table1[[dist(km)]:[100]],MATCH($C$27,Distances,1)+1,CT$26-2)</f>
        <v>0.19589999999999999</v>
      </c>
      <c r="CU30">
        <f>INDEX(Table1[[dist(km)]:[100]],MATCH($C$27,Distances,1)+1,CU$26-2)</f>
        <v>0.1678</v>
      </c>
      <c r="CV30">
        <f>INDEX(Table1[[dist(km)]:[100]],MATCH($C$27,Distances,1)+1,CV$26-2)</f>
        <v>0.1389</v>
      </c>
    </row>
    <row r="34" spans="1:1" x14ac:dyDescent="0.2">
      <c r="A34" t="s">
        <v>180</v>
      </c>
    </row>
    <row r="35" spans="1:1" x14ac:dyDescent="0.2">
      <c r="A35" t="s">
        <v>2197</v>
      </c>
    </row>
    <row r="36" spans="1:1" x14ac:dyDescent="0.2">
      <c r="A36" t="s">
        <v>2198</v>
      </c>
    </row>
    <row r="37" spans="1:1" x14ac:dyDescent="0.2">
      <c r="A37" t="s">
        <v>2199</v>
      </c>
    </row>
    <row r="38" spans="1:1" x14ac:dyDescent="0.2">
      <c r="A38" t="s">
        <v>2200</v>
      </c>
    </row>
    <row r="39" spans="1:1" x14ac:dyDescent="0.2">
      <c r="A39" t="s">
        <v>2201</v>
      </c>
    </row>
    <row r="40" spans="1:1" x14ac:dyDescent="0.2">
      <c r="A40" t="s">
        <v>2202</v>
      </c>
    </row>
    <row r="41" spans="1:1" x14ac:dyDescent="0.2">
      <c r="A41" t="s">
        <v>2203</v>
      </c>
    </row>
    <row r="42" spans="1:1" x14ac:dyDescent="0.2">
      <c r="A42" t="s">
        <v>2204</v>
      </c>
    </row>
    <row r="43" spans="1:1" x14ac:dyDescent="0.2">
      <c r="A43" t="s">
        <v>2205</v>
      </c>
    </row>
    <row r="44" spans="1:1" x14ac:dyDescent="0.2">
      <c r="A44" t="s">
        <v>2206</v>
      </c>
    </row>
    <row r="45" spans="1:1" x14ac:dyDescent="0.2">
      <c r="A45" t="s">
        <v>2207</v>
      </c>
    </row>
    <row r="46" spans="1:1" x14ac:dyDescent="0.2">
      <c r="A46" t="s">
        <v>2208</v>
      </c>
    </row>
    <row r="47" spans="1:1" x14ac:dyDescent="0.2">
      <c r="A47" t="s">
        <v>2209</v>
      </c>
    </row>
    <row r="48" spans="1:1" x14ac:dyDescent="0.2">
      <c r="A48" t="s">
        <v>2210</v>
      </c>
    </row>
    <row r="49" spans="1:1" x14ac:dyDescent="0.2">
      <c r="A49" t="s">
        <v>2211</v>
      </c>
    </row>
    <row r="50" spans="1:1" x14ac:dyDescent="0.2">
      <c r="A50" t="s">
        <v>2212</v>
      </c>
    </row>
    <row r="51" spans="1:1" x14ac:dyDescent="0.2">
      <c r="A51" t="s">
        <v>2213</v>
      </c>
    </row>
    <row r="52" spans="1:1" x14ac:dyDescent="0.2">
      <c r="A52" t="s">
        <v>2214</v>
      </c>
    </row>
    <row r="53" spans="1:1" x14ac:dyDescent="0.2">
      <c r="A53" t="s">
        <v>2215</v>
      </c>
    </row>
    <row r="54" spans="1:1" x14ac:dyDescent="0.2">
      <c r="A54" t="s">
        <v>2216</v>
      </c>
    </row>
    <row r="55" spans="1:1" x14ac:dyDescent="0.2">
      <c r="A55" t="s">
        <v>2217</v>
      </c>
    </row>
    <row r="56" spans="1:1" x14ac:dyDescent="0.2">
      <c r="A56" t="s">
        <v>2218</v>
      </c>
    </row>
    <row r="57" spans="1:1" x14ac:dyDescent="0.2">
      <c r="A57" t="s">
        <v>2219</v>
      </c>
    </row>
    <row r="58" spans="1:1" x14ac:dyDescent="0.2">
      <c r="A58" t="s">
        <v>2220</v>
      </c>
    </row>
    <row r="59" spans="1:1" x14ac:dyDescent="0.2">
      <c r="A59" t="s">
        <v>2221</v>
      </c>
    </row>
    <row r="60" spans="1:1" x14ac:dyDescent="0.2">
      <c r="A60" t="s">
        <v>2222</v>
      </c>
    </row>
    <row r="61" spans="1:1" x14ac:dyDescent="0.2">
      <c r="A61" t="s">
        <v>2223</v>
      </c>
    </row>
    <row r="62" spans="1:1" x14ac:dyDescent="0.2">
      <c r="A62" t="s">
        <v>2224</v>
      </c>
    </row>
    <row r="63" spans="1:1" x14ac:dyDescent="0.2">
      <c r="A63" t="s">
        <v>2225</v>
      </c>
    </row>
    <row r="64" spans="1:1" x14ac:dyDescent="0.2">
      <c r="A64" t="s">
        <v>2226</v>
      </c>
    </row>
    <row r="65" spans="1:1" x14ac:dyDescent="0.2">
      <c r="A65" t="s">
        <v>2227</v>
      </c>
    </row>
    <row r="66" spans="1:1" x14ac:dyDescent="0.2">
      <c r="A66" t="s">
        <v>2228</v>
      </c>
    </row>
    <row r="67" spans="1:1" x14ac:dyDescent="0.2">
      <c r="A67" t="s">
        <v>2229</v>
      </c>
    </row>
    <row r="68" spans="1:1" x14ac:dyDescent="0.2">
      <c r="A68" t="s">
        <v>2230</v>
      </c>
    </row>
    <row r="69" spans="1:1" x14ac:dyDescent="0.2">
      <c r="A69" t="s">
        <v>2231</v>
      </c>
    </row>
    <row r="70" spans="1:1" x14ac:dyDescent="0.2">
      <c r="A70" t="s">
        <v>2232</v>
      </c>
    </row>
    <row r="71" spans="1:1" x14ac:dyDescent="0.2">
      <c r="A71" t="s">
        <v>2233</v>
      </c>
    </row>
    <row r="72" spans="1:1" x14ac:dyDescent="0.2">
      <c r="A72" t="s">
        <v>2234</v>
      </c>
    </row>
    <row r="73" spans="1:1" x14ac:dyDescent="0.2">
      <c r="A73" t="s">
        <v>2235</v>
      </c>
    </row>
    <row r="74" spans="1:1" x14ac:dyDescent="0.2">
      <c r="A74" t="s">
        <v>2236</v>
      </c>
    </row>
    <row r="75" spans="1:1" x14ac:dyDescent="0.2">
      <c r="A75" t="s">
        <v>2237</v>
      </c>
    </row>
    <row r="76" spans="1:1" x14ac:dyDescent="0.2">
      <c r="A76" t="s">
        <v>2238</v>
      </c>
    </row>
    <row r="77" spans="1:1" x14ac:dyDescent="0.2">
      <c r="A77" t="s">
        <v>2239</v>
      </c>
    </row>
    <row r="78" spans="1:1" x14ac:dyDescent="0.2">
      <c r="A78" t="s">
        <v>2240</v>
      </c>
    </row>
    <row r="79" spans="1:1" x14ac:dyDescent="0.2">
      <c r="A79" t="s">
        <v>2241</v>
      </c>
    </row>
    <row r="80" spans="1:1" x14ac:dyDescent="0.2">
      <c r="A80" t="s">
        <v>2242</v>
      </c>
    </row>
    <row r="81" spans="1:1" x14ac:dyDescent="0.2">
      <c r="A81" t="s">
        <v>2243</v>
      </c>
    </row>
    <row r="82" spans="1:1" x14ac:dyDescent="0.2">
      <c r="A82" t="s">
        <v>2244</v>
      </c>
    </row>
    <row r="83" spans="1:1" x14ac:dyDescent="0.2">
      <c r="A83" t="s">
        <v>2245</v>
      </c>
    </row>
    <row r="84" spans="1:1" x14ac:dyDescent="0.2">
      <c r="A84" t="s">
        <v>2246</v>
      </c>
    </row>
    <row r="85" spans="1:1" x14ac:dyDescent="0.2">
      <c r="A85" t="s">
        <v>2247</v>
      </c>
    </row>
    <row r="86" spans="1:1" x14ac:dyDescent="0.2">
      <c r="A86" t="s">
        <v>2248</v>
      </c>
    </row>
    <row r="87" spans="1:1" x14ac:dyDescent="0.2">
      <c r="A87" t="s">
        <v>2249</v>
      </c>
    </row>
    <row r="88" spans="1:1" x14ac:dyDescent="0.2">
      <c r="A88" t="s">
        <v>2250</v>
      </c>
    </row>
    <row r="89" spans="1:1" x14ac:dyDescent="0.2">
      <c r="A89" t="s">
        <v>2251</v>
      </c>
    </row>
    <row r="90" spans="1:1" x14ac:dyDescent="0.2">
      <c r="A90" t="s">
        <v>2252</v>
      </c>
    </row>
    <row r="91" spans="1:1" x14ac:dyDescent="0.2">
      <c r="A91" t="s">
        <v>2253</v>
      </c>
    </row>
    <row r="92" spans="1:1" x14ac:dyDescent="0.2">
      <c r="A92" t="s">
        <v>2254</v>
      </c>
    </row>
    <row r="93" spans="1:1" x14ac:dyDescent="0.2">
      <c r="A93" t="s">
        <v>2255</v>
      </c>
    </row>
    <row r="94" spans="1:1" x14ac:dyDescent="0.2">
      <c r="A94" t="s">
        <v>2256</v>
      </c>
    </row>
    <row r="95" spans="1:1" x14ac:dyDescent="0.2">
      <c r="A95" t="s">
        <v>2257</v>
      </c>
    </row>
    <row r="96" spans="1:1" x14ac:dyDescent="0.2">
      <c r="A96" t="s">
        <v>2258</v>
      </c>
    </row>
    <row r="97" spans="1:1" x14ac:dyDescent="0.2">
      <c r="A97" t="s">
        <v>2259</v>
      </c>
    </row>
    <row r="98" spans="1:1" x14ac:dyDescent="0.2">
      <c r="A98" t="s">
        <v>2260</v>
      </c>
    </row>
    <row r="99" spans="1:1" x14ac:dyDescent="0.2">
      <c r="A99" t="s">
        <v>2261</v>
      </c>
    </row>
    <row r="100" spans="1:1" x14ac:dyDescent="0.2">
      <c r="A100" t="s">
        <v>2262</v>
      </c>
    </row>
    <row r="101" spans="1:1" x14ac:dyDescent="0.2">
      <c r="A101" t="s">
        <v>2263</v>
      </c>
    </row>
    <row r="102" spans="1:1" x14ac:dyDescent="0.2">
      <c r="A102" t="s">
        <v>2264</v>
      </c>
    </row>
    <row r="103" spans="1:1" x14ac:dyDescent="0.2">
      <c r="A103" t="s">
        <v>2265</v>
      </c>
    </row>
    <row r="104" spans="1:1" x14ac:dyDescent="0.2">
      <c r="A104" t="s">
        <v>2266</v>
      </c>
    </row>
    <row r="105" spans="1:1" x14ac:dyDescent="0.2">
      <c r="A105" t="s">
        <v>2267</v>
      </c>
    </row>
    <row r="106" spans="1:1" x14ac:dyDescent="0.2">
      <c r="A106" t="s">
        <v>2268</v>
      </c>
    </row>
    <row r="107" spans="1:1" x14ac:dyDescent="0.2">
      <c r="A107" t="s">
        <v>2269</v>
      </c>
    </row>
    <row r="108" spans="1:1" x14ac:dyDescent="0.2">
      <c r="A108" t="s">
        <v>2270</v>
      </c>
    </row>
    <row r="109" spans="1:1" x14ac:dyDescent="0.2">
      <c r="A109" t="s">
        <v>2271</v>
      </c>
    </row>
    <row r="110" spans="1:1" x14ac:dyDescent="0.2">
      <c r="A110" t="s">
        <v>2272</v>
      </c>
    </row>
    <row r="111" spans="1:1" x14ac:dyDescent="0.2">
      <c r="A111" t="s">
        <v>2273</v>
      </c>
    </row>
    <row r="112" spans="1:1" x14ac:dyDescent="0.2">
      <c r="A112" t="s">
        <v>2274</v>
      </c>
    </row>
    <row r="113" spans="1:1" x14ac:dyDescent="0.2">
      <c r="A113" t="s">
        <v>2275</v>
      </c>
    </row>
    <row r="114" spans="1:1" x14ac:dyDescent="0.2">
      <c r="A114" t="s">
        <v>2276</v>
      </c>
    </row>
    <row r="115" spans="1:1" x14ac:dyDescent="0.2">
      <c r="A115" t="s">
        <v>2277</v>
      </c>
    </row>
    <row r="116" spans="1:1" x14ac:dyDescent="0.2">
      <c r="A116" t="s">
        <v>2278</v>
      </c>
    </row>
    <row r="117" spans="1:1" x14ac:dyDescent="0.2">
      <c r="A117" t="s">
        <v>2279</v>
      </c>
    </row>
    <row r="118" spans="1:1" x14ac:dyDescent="0.2">
      <c r="A118" t="s">
        <v>2280</v>
      </c>
    </row>
    <row r="119" spans="1:1" x14ac:dyDescent="0.2">
      <c r="A119" t="s">
        <v>2281</v>
      </c>
    </row>
    <row r="120" spans="1:1" x14ac:dyDescent="0.2">
      <c r="A120" t="s">
        <v>2282</v>
      </c>
    </row>
    <row r="121" spans="1:1" x14ac:dyDescent="0.2">
      <c r="A121" t="s">
        <v>2283</v>
      </c>
    </row>
    <row r="122" spans="1:1" x14ac:dyDescent="0.2">
      <c r="A122" t="s">
        <v>2284</v>
      </c>
    </row>
    <row r="123" spans="1:1" x14ac:dyDescent="0.2">
      <c r="A123" t="s">
        <v>2285</v>
      </c>
    </row>
    <row r="124" spans="1:1" x14ac:dyDescent="0.2">
      <c r="A124" t="s">
        <v>2286</v>
      </c>
    </row>
    <row r="125" spans="1:1" x14ac:dyDescent="0.2">
      <c r="A125" t="s">
        <v>2287</v>
      </c>
    </row>
    <row r="126" spans="1:1" x14ac:dyDescent="0.2">
      <c r="A126" t="s">
        <v>2288</v>
      </c>
    </row>
    <row r="127" spans="1:1" x14ac:dyDescent="0.2">
      <c r="A127" t="s">
        <v>2289</v>
      </c>
    </row>
    <row r="128" spans="1:1" x14ac:dyDescent="0.2">
      <c r="A128" t="s">
        <v>2290</v>
      </c>
    </row>
    <row r="129" spans="1:1" x14ac:dyDescent="0.2">
      <c r="A129" t="s">
        <v>2291</v>
      </c>
    </row>
    <row r="130" spans="1:1" x14ac:dyDescent="0.2">
      <c r="A130" t="s">
        <v>2292</v>
      </c>
    </row>
    <row r="131" spans="1:1" x14ac:dyDescent="0.2">
      <c r="A131" t="s">
        <v>2293</v>
      </c>
    </row>
    <row r="132" spans="1:1" x14ac:dyDescent="0.2">
      <c r="A132" t="s">
        <v>2294</v>
      </c>
    </row>
    <row r="133" spans="1:1" x14ac:dyDescent="0.2">
      <c r="A133" t="s">
        <v>2295</v>
      </c>
    </row>
    <row r="134" spans="1:1" x14ac:dyDescent="0.2">
      <c r="A134" t="s">
        <v>2296</v>
      </c>
    </row>
    <row r="135" spans="1:1" x14ac:dyDescent="0.2">
      <c r="A135" t="s">
        <v>2297</v>
      </c>
    </row>
    <row r="136" spans="1:1" x14ac:dyDescent="0.2">
      <c r="A136" t="s">
        <v>2298</v>
      </c>
    </row>
    <row r="137" spans="1:1" x14ac:dyDescent="0.2">
      <c r="A137" t="s">
        <v>2299</v>
      </c>
    </row>
    <row r="138" spans="1:1" x14ac:dyDescent="0.2">
      <c r="A138" t="s">
        <v>2300</v>
      </c>
    </row>
    <row r="139" spans="1:1" x14ac:dyDescent="0.2">
      <c r="A139" t="s">
        <v>2301</v>
      </c>
    </row>
    <row r="140" spans="1:1" x14ac:dyDescent="0.2">
      <c r="A140" t="s">
        <v>2302</v>
      </c>
    </row>
    <row r="141" spans="1:1" x14ac:dyDescent="0.2">
      <c r="A141" t="s">
        <v>2303</v>
      </c>
    </row>
    <row r="142" spans="1:1" x14ac:dyDescent="0.2">
      <c r="A142" t="s">
        <v>2304</v>
      </c>
    </row>
    <row r="143" spans="1:1" x14ac:dyDescent="0.2">
      <c r="A143" t="s">
        <v>2305</v>
      </c>
    </row>
    <row r="144" spans="1:1" x14ac:dyDescent="0.2">
      <c r="A144" t="s">
        <v>2306</v>
      </c>
    </row>
    <row r="145" spans="1:1" x14ac:dyDescent="0.2">
      <c r="A145" t="s">
        <v>2307</v>
      </c>
    </row>
    <row r="146" spans="1:1" x14ac:dyDescent="0.2">
      <c r="A146" t="s">
        <v>2308</v>
      </c>
    </row>
    <row r="147" spans="1:1" x14ac:dyDescent="0.2">
      <c r="A147" t="s">
        <v>2309</v>
      </c>
    </row>
    <row r="148" spans="1:1" x14ac:dyDescent="0.2">
      <c r="A148" t="s">
        <v>2310</v>
      </c>
    </row>
    <row r="149" spans="1:1" x14ac:dyDescent="0.2">
      <c r="A149" t="s">
        <v>2311</v>
      </c>
    </row>
    <row r="150" spans="1:1" x14ac:dyDescent="0.2">
      <c r="A150" t="s">
        <v>2312</v>
      </c>
    </row>
    <row r="151" spans="1:1" x14ac:dyDescent="0.2">
      <c r="A151" t="s">
        <v>2313</v>
      </c>
    </row>
    <row r="152" spans="1:1" x14ac:dyDescent="0.2">
      <c r="A152" t="s">
        <v>2314</v>
      </c>
    </row>
    <row r="153" spans="1:1" x14ac:dyDescent="0.2">
      <c r="A153" t="s">
        <v>2315</v>
      </c>
    </row>
    <row r="154" spans="1:1" x14ac:dyDescent="0.2">
      <c r="A154" t="s">
        <v>2316</v>
      </c>
    </row>
    <row r="155" spans="1:1" x14ac:dyDescent="0.2">
      <c r="A155" t="s">
        <v>2317</v>
      </c>
    </row>
    <row r="156" spans="1:1" x14ac:dyDescent="0.2">
      <c r="A156" t="s">
        <v>2318</v>
      </c>
    </row>
    <row r="157" spans="1:1" x14ac:dyDescent="0.2">
      <c r="A157" t="s">
        <v>2319</v>
      </c>
    </row>
    <row r="158" spans="1:1" x14ac:dyDescent="0.2">
      <c r="A158" t="s">
        <v>2320</v>
      </c>
    </row>
    <row r="159" spans="1:1" x14ac:dyDescent="0.2">
      <c r="A159" t="s">
        <v>2321</v>
      </c>
    </row>
    <row r="160" spans="1:1" x14ac:dyDescent="0.2">
      <c r="A160" t="s">
        <v>2322</v>
      </c>
    </row>
    <row r="161" spans="1:1" x14ac:dyDescent="0.2">
      <c r="A161" t="s">
        <v>2323</v>
      </c>
    </row>
    <row r="162" spans="1:1" x14ac:dyDescent="0.2">
      <c r="A162" t="s">
        <v>2324</v>
      </c>
    </row>
    <row r="163" spans="1:1" x14ac:dyDescent="0.2">
      <c r="A163" t="s">
        <v>2325</v>
      </c>
    </row>
    <row r="164" spans="1:1" x14ac:dyDescent="0.2">
      <c r="A164" t="s">
        <v>2326</v>
      </c>
    </row>
    <row r="165" spans="1:1" x14ac:dyDescent="0.2">
      <c r="A165" t="s">
        <v>2327</v>
      </c>
    </row>
    <row r="166" spans="1:1" x14ac:dyDescent="0.2">
      <c r="A166" t="s">
        <v>2328</v>
      </c>
    </row>
    <row r="167" spans="1:1" x14ac:dyDescent="0.2">
      <c r="A167" t="s">
        <v>2329</v>
      </c>
    </row>
    <row r="168" spans="1:1" x14ac:dyDescent="0.2">
      <c r="A168" t="s">
        <v>2330</v>
      </c>
    </row>
    <row r="169" spans="1:1" x14ac:dyDescent="0.2">
      <c r="A169" t="s">
        <v>2331</v>
      </c>
    </row>
    <row r="170" spans="1:1" x14ac:dyDescent="0.2">
      <c r="A170" t="s">
        <v>2332</v>
      </c>
    </row>
    <row r="171" spans="1:1" x14ac:dyDescent="0.2">
      <c r="A171" t="s">
        <v>2333</v>
      </c>
    </row>
    <row r="172" spans="1:1" x14ac:dyDescent="0.2">
      <c r="A172" t="s">
        <v>2334</v>
      </c>
    </row>
    <row r="173" spans="1:1" x14ac:dyDescent="0.2">
      <c r="A173" t="s">
        <v>2335</v>
      </c>
    </row>
    <row r="174" spans="1:1" x14ac:dyDescent="0.2">
      <c r="A174" t="s">
        <v>2336</v>
      </c>
    </row>
    <row r="175" spans="1:1" x14ac:dyDescent="0.2">
      <c r="A175" t="s">
        <v>2337</v>
      </c>
    </row>
    <row r="176" spans="1:1" x14ac:dyDescent="0.2">
      <c r="A176" t="s">
        <v>2338</v>
      </c>
    </row>
    <row r="177" spans="1:1" x14ac:dyDescent="0.2">
      <c r="A177" t="s">
        <v>2339</v>
      </c>
    </row>
    <row r="178" spans="1:1" x14ac:dyDescent="0.2">
      <c r="A178" t="s">
        <v>2340</v>
      </c>
    </row>
    <row r="179" spans="1:1" x14ac:dyDescent="0.2">
      <c r="A179" t="s">
        <v>2341</v>
      </c>
    </row>
    <row r="180" spans="1:1" x14ac:dyDescent="0.2">
      <c r="A180" t="s">
        <v>2342</v>
      </c>
    </row>
    <row r="181" spans="1:1" x14ac:dyDescent="0.2">
      <c r="A181" t="s">
        <v>2343</v>
      </c>
    </row>
    <row r="182" spans="1:1" x14ac:dyDescent="0.2">
      <c r="A182" t="s">
        <v>2344</v>
      </c>
    </row>
    <row r="183" spans="1:1" x14ac:dyDescent="0.2">
      <c r="A183" t="s">
        <v>2345</v>
      </c>
    </row>
    <row r="184" spans="1:1" x14ac:dyDescent="0.2">
      <c r="A184" t="s">
        <v>2346</v>
      </c>
    </row>
    <row r="185" spans="1:1" x14ac:dyDescent="0.2">
      <c r="A185" t="s">
        <v>2347</v>
      </c>
    </row>
    <row r="186" spans="1:1" x14ac:dyDescent="0.2">
      <c r="A186" t="s">
        <v>2348</v>
      </c>
    </row>
    <row r="187" spans="1:1" x14ac:dyDescent="0.2">
      <c r="A187" t="s">
        <v>2349</v>
      </c>
    </row>
    <row r="188" spans="1:1" x14ac:dyDescent="0.2">
      <c r="A188" t="s">
        <v>2350</v>
      </c>
    </row>
    <row r="189" spans="1:1" x14ac:dyDescent="0.2">
      <c r="A189" t="s">
        <v>2351</v>
      </c>
    </row>
    <row r="190" spans="1:1" x14ac:dyDescent="0.2">
      <c r="A190" t="s">
        <v>2352</v>
      </c>
    </row>
    <row r="191" spans="1:1" x14ac:dyDescent="0.2">
      <c r="A191" t="s">
        <v>2353</v>
      </c>
    </row>
    <row r="192" spans="1:1" x14ac:dyDescent="0.2">
      <c r="A192" t="s">
        <v>2354</v>
      </c>
    </row>
    <row r="193" spans="1:1" x14ac:dyDescent="0.2">
      <c r="A193" t="s">
        <v>2355</v>
      </c>
    </row>
    <row r="194" spans="1:1" x14ac:dyDescent="0.2">
      <c r="A194" t="s">
        <v>2356</v>
      </c>
    </row>
    <row r="195" spans="1:1" x14ac:dyDescent="0.2">
      <c r="A195" t="s">
        <v>2357</v>
      </c>
    </row>
    <row r="196" spans="1:1" x14ac:dyDescent="0.2">
      <c r="A196" t="s">
        <v>2358</v>
      </c>
    </row>
    <row r="197" spans="1:1" x14ac:dyDescent="0.2">
      <c r="A197" t="s">
        <v>2359</v>
      </c>
    </row>
    <row r="198" spans="1:1" x14ac:dyDescent="0.2">
      <c r="A198" t="s">
        <v>2360</v>
      </c>
    </row>
    <row r="199" spans="1:1" x14ac:dyDescent="0.2">
      <c r="A199" t="s">
        <v>2361</v>
      </c>
    </row>
    <row r="200" spans="1:1" x14ac:dyDescent="0.2">
      <c r="A200" t="s">
        <v>2362</v>
      </c>
    </row>
    <row r="201" spans="1:1" x14ac:dyDescent="0.2">
      <c r="A201" t="s">
        <v>2363</v>
      </c>
    </row>
    <row r="202" spans="1:1" x14ac:dyDescent="0.2">
      <c r="A202" t="s">
        <v>2364</v>
      </c>
    </row>
    <row r="203" spans="1:1" x14ac:dyDescent="0.2">
      <c r="A203" t="s">
        <v>2365</v>
      </c>
    </row>
    <row r="204" spans="1:1" x14ac:dyDescent="0.2">
      <c r="A204" t="s">
        <v>2366</v>
      </c>
    </row>
    <row r="205" spans="1:1" x14ac:dyDescent="0.2">
      <c r="A205" t="s">
        <v>2367</v>
      </c>
    </row>
    <row r="206" spans="1:1" x14ac:dyDescent="0.2">
      <c r="A206" t="s">
        <v>2368</v>
      </c>
    </row>
    <row r="207" spans="1:1" x14ac:dyDescent="0.2">
      <c r="A207" t="s">
        <v>2369</v>
      </c>
    </row>
    <row r="208" spans="1:1" x14ac:dyDescent="0.2">
      <c r="A208" t="s">
        <v>2370</v>
      </c>
    </row>
    <row r="209" spans="1:1" x14ac:dyDescent="0.2">
      <c r="A209" t="s">
        <v>2371</v>
      </c>
    </row>
    <row r="210" spans="1:1" x14ac:dyDescent="0.2">
      <c r="A210" t="s">
        <v>2372</v>
      </c>
    </row>
    <row r="211" spans="1:1" x14ac:dyDescent="0.2">
      <c r="A211" t="s">
        <v>2373</v>
      </c>
    </row>
    <row r="212" spans="1:1" x14ac:dyDescent="0.2">
      <c r="A212" t="s">
        <v>2374</v>
      </c>
    </row>
    <row r="213" spans="1:1" x14ac:dyDescent="0.2">
      <c r="A213" t="s">
        <v>2375</v>
      </c>
    </row>
    <row r="214" spans="1:1" x14ac:dyDescent="0.2">
      <c r="A214" t="s">
        <v>2376</v>
      </c>
    </row>
    <row r="215" spans="1:1" x14ac:dyDescent="0.2">
      <c r="A215" t="s">
        <v>2377</v>
      </c>
    </row>
    <row r="216" spans="1:1" x14ac:dyDescent="0.2">
      <c r="A216" t="s">
        <v>2378</v>
      </c>
    </row>
    <row r="217" spans="1:1" x14ac:dyDescent="0.2">
      <c r="A217" t="s">
        <v>2379</v>
      </c>
    </row>
    <row r="218" spans="1:1" x14ac:dyDescent="0.2">
      <c r="A218" t="s">
        <v>2380</v>
      </c>
    </row>
    <row r="219" spans="1:1" x14ac:dyDescent="0.2">
      <c r="A219" t="s">
        <v>2381</v>
      </c>
    </row>
    <row r="220" spans="1:1" x14ac:dyDescent="0.2">
      <c r="A220" t="s">
        <v>2382</v>
      </c>
    </row>
    <row r="221" spans="1:1" x14ac:dyDescent="0.2">
      <c r="A221" t="s">
        <v>2383</v>
      </c>
    </row>
    <row r="222" spans="1:1" x14ac:dyDescent="0.2">
      <c r="A222" t="s">
        <v>2384</v>
      </c>
    </row>
    <row r="223" spans="1:1" x14ac:dyDescent="0.2">
      <c r="A223" t="s">
        <v>2385</v>
      </c>
    </row>
    <row r="224" spans="1:1" x14ac:dyDescent="0.2">
      <c r="A224" t="s">
        <v>2386</v>
      </c>
    </row>
    <row r="225" spans="1:1" x14ac:dyDescent="0.2">
      <c r="A225" t="s">
        <v>2387</v>
      </c>
    </row>
    <row r="226" spans="1:1" x14ac:dyDescent="0.2">
      <c r="A226" t="s">
        <v>2388</v>
      </c>
    </row>
    <row r="227" spans="1:1" x14ac:dyDescent="0.2">
      <c r="A227" t="s">
        <v>2389</v>
      </c>
    </row>
    <row r="228" spans="1:1" x14ac:dyDescent="0.2">
      <c r="A228" t="s">
        <v>2390</v>
      </c>
    </row>
    <row r="229" spans="1:1" x14ac:dyDescent="0.2">
      <c r="A229" t="s">
        <v>2391</v>
      </c>
    </row>
    <row r="230" spans="1:1" x14ac:dyDescent="0.2">
      <c r="A230" t="s">
        <v>2392</v>
      </c>
    </row>
    <row r="231" spans="1:1" x14ac:dyDescent="0.2">
      <c r="A231" t="s">
        <v>2393</v>
      </c>
    </row>
    <row r="232" spans="1:1" x14ac:dyDescent="0.2">
      <c r="A232" t="s">
        <v>2394</v>
      </c>
    </row>
    <row r="233" spans="1:1" x14ac:dyDescent="0.2">
      <c r="A233" t="s">
        <v>2395</v>
      </c>
    </row>
    <row r="234" spans="1:1" x14ac:dyDescent="0.2">
      <c r="A234" t="s">
        <v>2396</v>
      </c>
    </row>
    <row r="235" spans="1:1" x14ac:dyDescent="0.2">
      <c r="A235" t="s">
        <v>2397</v>
      </c>
    </row>
    <row r="236" spans="1:1" x14ac:dyDescent="0.2">
      <c r="A236" t="s">
        <v>2398</v>
      </c>
    </row>
    <row r="237" spans="1:1" x14ac:dyDescent="0.2">
      <c r="A237" t="s">
        <v>2399</v>
      </c>
    </row>
    <row r="238" spans="1:1" x14ac:dyDescent="0.2">
      <c r="A238" t="s">
        <v>2400</v>
      </c>
    </row>
    <row r="239" spans="1:1" x14ac:dyDescent="0.2">
      <c r="A239" t="s">
        <v>2401</v>
      </c>
    </row>
    <row r="240" spans="1:1" x14ac:dyDescent="0.2">
      <c r="A240" t="s">
        <v>2402</v>
      </c>
    </row>
    <row r="241" spans="1:1" x14ac:dyDescent="0.2">
      <c r="A241" t="s">
        <v>2403</v>
      </c>
    </row>
    <row r="242" spans="1:1" x14ac:dyDescent="0.2">
      <c r="A242" t="s">
        <v>2404</v>
      </c>
    </row>
    <row r="243" spans="1:1" x14ac:dyDescent="0.2">
      <c r="A243" t="s">
        <v>2405</v>
      </c>
    </row>
    <row r="244" spans="1:1" x14ac:dyDescent="0.2">
      <c r="A244" t="s">
        <v>2406</v>
      </c>
    </row>
    <row r="245" spans="1:1" x14ac:dyDescent="0.2">
      <c r="A245" t="s">
        <v>2407</v>
      </c>
    </row>
    <row r="246" spans="1:1" x14ac:dyDescent="0.2">
      <c r="A246" t="s">
        <v>2408</v>
      </c>
    </row>
    <row r="247" spans="1:1" x14ac:dyDescent="0.2">
      <c r="A247" t="s">
        <v>2409</v>
      </c>
    </row>
    <row r="248" spans="1:1" x14ac:dyDescent="0.2">
      <c r="A248" t="s">
        <v>2410</v>
      </c>
    </row>
    <row r="249" spans="1:1" x14ac:dyDescent="0.2">
      <c r="A249" t="s">
        <v>2411</v>
      </c>
    </row>
    <row r="250" spans="1:1" x14ac:dyDescent="0.2">
      <c r="A250" t="s">
        <v>2412</v>
      </c>
    </row>
    <row r="251" spans="1:1" x14ac:dyDescent="0.2">
      <c r="A251" t="s">
        <v>2413</v>
      </c>
    </row>
    <row r="252" spans="1:1" x14ac:dyDescent="0.2">
      <c r="A252" t="s">
        <v>2414</v>
      </c>
    </row>
    <row r="253" spans="1:1" x14ac:dyDescent="0.2">
      <c r="A253" t="s">
        <v>2415</v>
      </c>
    </row>
    <row r="254" spans="1:1" x14ac:dyDescent="0.2">
      <c r="A254" t="s">
        <v>2416</v>
      </c>
    </row>
    <row r="255" spans="1:1" x14ac:dyDescent="0.2">
      <c r="A255" t="s">
        <v>2417</v>
      </c>
    </row>
    <row r="256" spans="1:1" x14ac:dyDescent="0.2">
      <c r="A256" t="s">
        <v>2418</v>
      </c>
    </row>
    <row r="257" spans="1:1" x14ac:dyDescent="0.2">
      <c r="A257" t="s">
        <v>2419</v>
      </c>
    </row>
    <row r="258" spans="1:1" x14ac:dyDescent="0.2">
      <c r="A258" t="s">
        <v>2420</v>
      </c>
    </row>
    <row r="259" spans="1:1" x14ac:dyDescent="0.2">
      <c r="A259" t="s">
        <v>2421</v>
      </c>
    </row>
    <row r="260" spans="1:1" x14ac:dyDescent="0.2">
      <c r="A260" t="s">
        <v>2422</v>
      </c>
    </row>
    <row r="261" spans="1:1" x14ac:dyDescent="0.2">
      <c r="A261" t="s">
        <v>2423</v>
      </c>
    </row>
    <row r="262" spans="1:1" x14ac:dyDescent="0.2">
      <c r="A262" t="s">
        <v>2424</v>
      </c>
    </row>
    <row r="263" spans="1:1" x14ac:dyDescent="0.2">
      <c r="A263" t="s">
        <v>2425</v>
      </c>
    </row>
    <row r="264" spans="1:1" x14ac:dyDescent="0.2">
      <c r="A264" t="s">
        <v>2426</v>
      </c>
    </row>
    <row r="265" spans="1:1" x14ac:dyDescent="0.2">
      <c r="A265" t="s">
        <v>2427</v>
      </c>
    </row>
    <row r="266" spans="1:1" x14ac:dyDescent="0.2">
      <c r="A266" t="s">
        <v>2428</v>
      </c>
    </row>
    <row r="267" spans="1:1" x14ac:dyDescent="0.2">
      <c r="A267" t="s">
        <v>2429</v>
      </c>
    </row>
    <row r="268" spans="1:1" x14ac:dyDescent="0.2">
      <c r="A268" t="s">
        <v>2430</v>
      </c>
    </row>
    <row r="269" spans="1:1" x14ac:dyDescent="0.2">
      <c r="A269" t="s">
        <v>2431</v>
      </c>
    </row>
    <row r="270" spans="1:1" x14ac:dyDescent="0.2">
      <c r="A270" t="s">
        <v>2432</v>
      </c>
    </row>
    <row r="271" spans="1:1" x14ac:dyDescent="0.2">
      <c r="A271" t="s">
        <v>2433</v>
      </c>
    </row>
    <row r="272" spans="1:1" x14ac:dyDescent="0.2">
      <c r="A272" t="s">
        <v>2434</v>
      </c>
    </row>
    <row r="273" spans="1:1" x14ac:dyDescent="0.2">
      <c r="A273" t="s">
        <v>2435</v>
      </c>
    </row>
    <row r="274" spans="1:1" x14ac:dyDescent="0.2">
      <c r="A274" t="s">
        <v>2436</v>
      </c>
    </row>
    <row r="275" spans="1:1" x14ac:dyDescent="0.2">
      <c r="A275" t="s">
        <v>2437</v>
      </c>
    </row>
    <row r="276" spans="1:1" x14ac:dyDescent="0.2">
      <c r="A276" t="s">
        <v>2438</v>
      </c>
    </row>
    <row r="277" spans="1:1" x14ac:dyDescent="0.2">
      <c r="A277" t="s">
        <v>2439</v>
      </c>
    </row>
    <row r="278" spans="1:1" x14ac:dyDescent="0.2">
      <c r="A278" t="s">
        <v>2440</v>
      </c>
    </row>
    <row r="279" spans="1:1" x14ac:dyDescent="0.2">
      <c r="A279" t="s">
        <v>2441</v>
      </c>
    </row>
    <row r="280" spans="1:1" x14ac:dyDescent="0.2">
      <c r="A280" t="s">
        <v>2442</v>
      </c>
    </row>
    <row r="281" spans="1:1" x14ac:dyDescent="0.2">
      <c r="A281" t="s">
        <v>2443</v>
      </c>
    </row>
    <row r="282" spans="1:1" x14ac:dyDescent="0.2">
      <c r="A282" t="s">
        <v>2444</v>
      </c>
    </row>
    <row r="283" spans="1:1" x14ac:dyDescent="0.2">
      <c r="A283" t="s">
        <v>2445</v>
      </c>
    </row>
    <row r="284" spans="1:1" x14ac:dyDescent="0.2">
      <c r="A284" t="s">
        <v>2446</v>
      </c>
    </row>
    <row r="285" spans="1:1" x14ac:dyDescent="0.2">
      <c r="A285" t="s">
        <v>2447</v>
      </c>
    </row>
    <row r="286" spans="1:1" x14ac:dyDescent="0.2">
      <c r="A286" t="s">
        <v>2448</v>
      </c>
    </row>
    <row r="287" spans="1:1" x14ac:dyDescent="0.2">
      <c r="A287" t="s">
        <v>2449</v>
      </c>
    </row>
    <row r="288" spans="1:1" x14ac:dyDescent="0.2">
      <c r="A288" t="s">
        <v>2450</v>
      </c>
    </row>
    <row r="289" spans="1:1" x14ac:dyDescent="0.2">
      <c r="A289" t="s">
        <v>2451</v>
      </c>
    </row>
    <row r="290" spans="1:1" x14ac:dyDescent="0.2">
      <c r="A290" t="s">
        <v>2452</v>
      </c>
    </row>
    <row r="291" spans="1:1" x14ac:dyDescent="0.2">
      <c r="A291" t="s">
        <v>2453</v>
      </c>
    </row>
    <row r="292" spans="1:1" x14ac:dyDescent="0.2">
      <c r="A292" t="s">
        <v>2454</v>
      </c>
    </row>
    <row r="293" spans="1:1" x14ac:dyDescent="0.2">
      <c r="A293" t="s">
        <v>2455</v>
      </c>
    </row>
    <row r="294" spans="1:1" x14ac:dyDescent="0.2">
      <c r="A294" t="s">
        <v>2456</v>
      </c>
    </row>
    <row r="295" spans="1:1" x14ac:dyDescent="0.2">
      <c r="A295" t="s">
        <v>2457</v>
      </c>
    </row>
    <row r="296" spans="1:1" x14ac:dyDescent="0.2">
      <c r="A296" t="s">
        <v>2458</v>
      </c>
    </row>
    <row r="297" spans="1:1" x14ac:dyDescent="0.2">
      <c r="A297" t="s">
        <v>2459</v>
      </c>
    </row>
    <row r="298" spans="1:1" x14ac:dyDescent="0.2">
      <c r="A298" t="s">
        <v>2460</v>
      </c>
    </row>
    <row r="299" spans="1:1" x14ac:dyDescent="0.2">
      <c r="A299" t="s">
        <v>2461</v>
      </c>
    </row>
    <row r="300" spans="1:1" x14ac:dyDescent="0.2">
      <c r="A300" t="s">
        <v>2462</v>
      </c>
    </row>
    <row r="301" spans="1:1" x14ac:dyDescent="0.2">
      <c r="A301" t="s">
        <v>2463</v>
      </c>
    </row>
    <row r="302" spans="1:1" x14ac:dyDescent="0.2">
      <c r="A302" t="s">
        <v>2464</v>
      </c>
    </row>
    <row r="303" spans="1:1" x14ac:dyDescent="0.2">
      <c r="A303" t="s">
        <v>2465</v>
      </c>
    </row>
    <row r="304" spans="1:1" x14ac:dyDescent="0.2">
      <c r="A304" t="s">
        <v>2466</v>
      </c>
    </row>
    <row r="305" spans="1:1" x14ac:dyDescent="0.2">
      <c r="A305" t="s">
        <v>2467</v>
      </c>
    </row>
    <row r="306" spans="1:1" x14ac:dyDescent="0.2">
      <c r="A306" t="s">
        <v>2468</v>
      </c>
    </row>
    <row r="307" spans="1:1" x14ac:dyDescent="0.2">
      <c r="A307" t="s">
        <v>2469</v>
      </c>
    </row>
    <row r="308" spans="1:1" x14ac:dyDescent="0.2">
      <c r="A308" t="s">
        <v>2470</v>
      </c>
    </row>
    <row r="309" spans="1:1" x14ac:dyDescent="0.2">
      <c r="A309" t="s">
        <v>2471</v>
      </c>
    </row>
    <row r="310" spans="1:1" x14ac:dyDescent="0.2">
      <c r="A310" t="s">
        <v>2472</v>
      </c>
    </row>
    <row r="311" spans="1:1" x14ac:dyDescent="0.2">
      <c r="A311" t="s">
        <v>2473</v>
      </c>
    </row>
    <row r="312" spans="1:1" x14ac:dyDescent="0.2">
      <c r="A312" t="s">
        <v>2474</v>
      </c>
    </row>
    <row r="313" spans="1:1" x14ac:dyDescent="0.2">
      <c r="A313" t="s">
        <v>2475</v>
      </c>
    </row>
    <row r="314" spans="1:1" x14ac:dyDescent="0.2">
      <c r="A314" t="s">
        <v>2476</v>
      </c>
    </row>
    <row r="315" spans="1:1" x14ac:dyDescent="0.2">
      <c r="A315" t="s">
        <v>2477</v>
      </c>
    </row>
    <row r="316" spans="1:1" x14ac:dyDescent="0.2">
      <c r="A316" t="s">
        <v>2478</v>
      </c>
    </row>
    <row r="317" spans="1:1" x14ac:dyDescent="0.2">
      <c r="A317" t="s">
        <v>2479</v>
      </c>
    </row>
    <row r="318" spans="1:1" x14ac:dyDescent="0.2">
      <c r="A318" t="s">
        <v>2480</v>
      </c>
    </row>
    <row r="319" spans="1:1" x14ac:dyDescent="0.2">
      <c r="A319" t="s">
        <v>2481</v>
      </c>
    </row>
    <row r="320" spans="1:1" x14ac:dyDescent="0.2">
      <c r="A320" t="s">
        <v>2482</v>
      </c>
    </row>
    <row r="321" spans="1:1" x14ac:dyDescent="0.2">
      <c r="A321" t="s">
        <v>2483</v>
      </c>
    </row>
    <row r="322" spans="1:1" x14ac:dyDescent="0.2">
      <c r="A322" t="s">
        <v>2484</v>
      </c>
    </row>
    <row r="323" spans="1:1" x14ac:dyDescent="0.2">
      <c r="A323" t="s">
        <v>2485</v>
      </c>
    </row>
    <row r="324" spans="1:1" x14ac:dyDescent="0.2">
      <c r="A324" t="s">
        <v>2486</v>
      </c>
    </row>
    <row r="325" spans="1:1" x14ac:dyDescent="0.2">
      <c r="A325" t="s">
        <v>2487</v>
      </c>
    </row>
    <row r="326" spans="1:1" x14ac:dyDescent="0.2">
      <c r="A326" t="s">
        <v>2488</v>
      </c>
    </row>
    <row r="327" spans="1:1" x14ac:dyDescent="0.2">
      <c r="A327" t="s">
        <v>2489</v>
      </c>
    </row>
    <row r="328" spans="1:1" x14ac:dyDescent="0.2">
      <c r="A328" t="s">
        <v>2490</v>
      </c>
    </row>
    <row r="329" spans="1:1" x14ac:dyDescent="0.2">
      <c r="A329" t="s">
        <v>2491</v>
      </c>
    </row>
    <row r="330" spans="1:1" x14ac:dyDescent="0.2">
      <c r="A330" t="s">
        <v>2492</v>
      </c>
    </row>
    <row r="331" spans="1:1" x14ac:dyDescent="0.2">
      <c r="A331" t="s">
        <v>2493</v>
      </c>
    </row>
    <row r="332" spans="1:1" x14ac:dyDescent="0.2">
      <c r="A332" t="s">
        <v>2494</v>
      </c>
    </row>
    <row r="333" spans="1:1" x14ac:dyDescent="0.2">
      <c r="A333" t="s">
        <v>2495</v>
      </c>
    </row>
    <row r="334" spans="1:1" x14ac:dyDescent="0.2">
      <c r="A334" t="s">
        <v>2496</v>
      </c>
    </row>
    <row r="335" spans="1:1" x14ac:dyDescent="0.2">
      <c r="A335" t="s">
        <v>2497</v>
      </c>
    </row>
    <row r="336" spans="1:1" x14ac:dyDescent="0.2">
      <c r="A336" t="s">
        <v>2498</v>
      </c>
    </row>
    <row r="337" spans="1:1" x14ac:dyDescent="0.2">
      <c r="A337" t="s">
        <v>2499</v>
      </c>
    </row>
    <row r="338" spans="1:1" x14ac:dyDescent="0.2">
      <c r="A338" t="s">
        <v>2500</v>
      </c>
    </row>
    <row r="339" spans="1:1" x14ac:dyDescent="0.2">
      <c r="A339" t="s">
        <v>2501</v>
      </c>
    </row>
    <row r="340" spans="1:1" x14ac:dyDescent="0.2">
      <c r="A340" t="s">
        <v>2502</v>
      </c>
    </row>
    <row r="341" spans="1:1" x14ac:dyDescent="0.2">
      <c r="A341" t="s">
        <v>2503</v>
      </c>
    </row>
    <row r="342" spans="1:1" x14ac:dyDescent="0.2">
      <c r="A342" t="s">
        <v>2504</v>
      </c>
    </row>
    <row r="343" spans="1:1" x14ac:dyDescent="0.2">
      <c r="A343" t="s">
        <v>2505</v>
      </c>
    </row>
    <row r="344" spans="1:1" x14ac:dyDescent="0.2">
      <c r="A344" t="s">
        <v>2506</v>
      </c>
    </row>
    <row r="345" spans="1:1" x14ac:dyDescent="0.2">
      <c r="A345" t="s">
        <v>2507</v>
      </c>
    </row>
    <row r="346" spans="1:1" x14ac:dyDescent="0.2">
      <c r="A346" t="s">
        <v>2508</v>
      </c>
    </row>
    <row r="347" spans="1:1" x14ac:dyDescent="0.2">
      <c r="A347" t="s">
        <v>2509</v>
      </c>
    </row>
    <row r="348" spans="1:1" x14ac:dyDescent="0.2">
      <c r="A348" t="s">
        <v>2510</v>
      </c>
    </row>
    <row r="349" spans="1:1" x14ac:dyDescent="0.2">
      <c r="A349" t="s">
        <v>2511</v>
      </c>
    </row>
    <row r="350" spans="1:1" x14ac:dyDescent="0.2">
      <c r="A350" t="s">
        <v>2512</v>
      </c>
    </row>
    <row r="351" spans="1:1" x14ac:dyDescent="0.2">
      <c r="A351" t="s">
        <v>2513</v>
      </c>
    </row>
    <row r="352" spans="1:1" x14ac:dyDescent="0.2">
      <c r="A352" t="s">
        <v>2514</v>
      </c>
    </row>
    <row r="353" spans="1:1" x14ac:dyDescent="0.2">
      <c r="A353" t="s">
        <v>2515</v>
      </c>
    </row>
    <row r="354" spans="1:1" x14ac:dyDescent="0.2">
      <c r="A354" t="s">
        <v>2516</v>
      </c>
    </row>
    <row r="355" spans="1:1" x14ac:dyDescent="0.2">
      <c r="A355" t="s">
        <v>2517</v>
      </c>
    </row>
    <row r="356" spans="1:1" x14ac:dyDescent="0.2">
      <c r="A356" t="s">
        <v>2518</v>
      </c>
    </row>
    <row r="357" spans="1:1" x14ac:dyDescent="0.2">
      <c r="A357" t="s">
        <v>2519</v>
      </c>
    </row>
    <row r="358" spans="1:1" x14ac:dyDescent="0.2">
      <c r="A358" t="s">
        <v>2520</v>
      </c>
    </row>
    <row r="359" spans="1:1" x14ac:dyDescent="0.2">
      <c r="A359" t="s">
        <v>2521</v>
      </c>
    </row>
    <row r="360" spans="1:1" x14ac:dyDescent="0.2">
      <c r="A360" t="s">
        <v>2522</v>
      </c>
    </row>
    <row r="361" spans="1:1" x14ac:dyDescent="0.2">
      <c r="A361" t="s">
        <v>2523</v>
      </c>
    </row>
    <row r="362" spans="1:1" x14ac:dyDescent="0.2">
      <c r="A362" t="s">
        <v>2524</v>
      </c>
    </row>
    <row r="363" spans="1:1" x14ac:dyDescent="0.2">
      <c r="A363" t="s">
        <v>2525</v>
      </c>
    </row>
    <row r="364" spans="1:1" x14ac:dyDescent="0.2">
      <c r="A364" t="s">
        <v>2526</v>
      </c>
    </row>
    <row r="365" spans="1:1" x14ac:dyDescent="0.2">
      <c r="A365" t="s">
        <v>2527</v>
      </c>
    </row>
    <row r="366" spans="1:1" x14ac:dyDescent="0.2">
      <c r="A366" t="s">
        <v>2528</v>
      </c>
    </row>
    <row r="367" spans="1:1" x14ac:dyDescent="0.2">
      <c r="A367" t="s">
        <v>2529</v>
      </c>
    </row>
    <row r="368" spans="1:1" x14ac:dyDescent="0.2">
      <c r="A368" t="s">
        <v>2530</v>
      </c>
    </row>
    <row r="369" spans="1:1" x14ac:dyDescent="0.2">
      <c r="A369" t="s">
        <v>2531</v>
      </c>
    </row>
    <row r="370" spans="1:1" x14ac:dyDescent="0.2">
      <c r="A370" t="s">
        <v>2532</v>
      </c>
    </row>
    <row r="371" spans="1:1" x14ac:dyDescent="0.2">
      <c r="A371" t="s">
        <v>2533</v>
      </c>
    </row>
    <row r="372" spans="1:1" x14ac:dyDescent="0.2">
      <c r="A372" t="s">
        <v>2534</v>
      </c>
    </row>
    <row r="373" spans="1:1" x14ac:dyDescent="0.2">
      <c r="A373" t="s">
        <v>2535</v>
      </c>
    </row>
    <row r="374" spans="1:1" x14ac:dyDescent="0.2">
      <c r="A374" t="s">
        <v>2536</v>
      </c>
    </row>
    <row r="375" spans="1:1" x14ac:dyDescent="0.2">
      <c r="A375" t="s">
        <v>2537</v>
      </c>
    </row>
    <row r="376" spans="1:1" x14ac:dyDescent="0.2">
      <c r="A376" t="s">
        <v>2538</v>
      </c>
    </row>
    <row r="377" spans="1:1" x14ac:dyDescent="0.2">
      <c r="A377" t="s">
        <v>2539</v>
      </c>
    </row>
    <row r="378" spans="1:1" x14ac:dyDescent="0.2">
      <c r="A378" t="s">
        <v>2540</v>
      </c>
    </row>
    <row r="379" spans="1:1" x14ac:dyDescent="0.2">
      <c r="A379" t="s">
        <v>2541</v>
      </c>
    </row>
    <row r="380" spans="1:1" x14ac:dyDescent="0.2">
      <c r="A380" t="s">
        <v>2542</v>
      </c>
    </row>
    <row r="381" spans="1:1" x14ac:dyDescent="0.2">
      <c r="A381" t="s">
        <v>2543</v>
      </c>
    </row>
    <row r="382" spans="1:1" x14ac:dyDescent="0.2">
      <c r="A382" t="s">
        <v>2544</v>
      </c>
    </row>
    <row r="383" spans="1:1" x14ac:dyDescent="0.2">
      <c r="A383" t="s">
        <v>2545</v>
      </c>
    </row>
    <row r="384" spans="1:1" x14ac:dyDescent="0.2">
      <c r="A384" t="s">
        <v>2546</v>
      </c>
    </row>
    <row r="385" spans="1:1" x14ac:dyDescent="0.2">
      <c r="A385" t="s">
        <v>2547</v>
      </c>
    </row>
    <row r="386" spans="1:1" x14ac:dyDescent="0.2">
      <c r="A386" t="s">
        <v>2548</v>
      </c>
    </row>
    <row r="387" spans="1:1" x14ac:dyDescent="0.2">
      <c r="A387" t="s">
        <v>2549</v>
      </c>
    </row>
    <row r="388" spans="1:1" x14ac:dyDescent="0.2">
      <c r="A388" t="s">
        <v>2550</v>
      </c>
    </row>
    <row r="389" spans="1:1" x14ac:dyDescent="0.2">
      <c r="A389" t="s">
        <v>2551</v>
      </c>
    </row>
    <row r="390" spans="1:1" x14ac:dyDescent="0.2">
      <c r="A390" t="s">
        <v>2552</v>
      </c>
    </row>
    <row r="391" spans="1:1" x14ac:dyDescent="0.2">
      <c r="A391" t="s">
        <v>2553</v>
      </c>
    </row>
    <row r="392" spans="1:1" x14ac:dyDescent="0.2">
      <c r="A392" t="s">
        <v>2554</v>
      </c>
    </row>
    <row r="393" spans="1:1" x14ac:dyDescent="0.2">
      <c r="A393" t="s">
        <v>2555</v>
      </c>
    </row>
    <row r="394" spans="1:1" x14ac:dyDescent="0.2">
      <c r="A394" t="s">
        <v>2556</v>
      </c>
    </row>
    <row r="395" spans="1:1" x14ac:dyDescent="0.2">
      <c r="A395" t="s">
        <v>2557</v>
      </c>
    </row>
    <row r="396" spans="1:1" x14ac:dyDescent="0.2">
      <c r="A396" t="s">
        <v>2558</v>
      </c>
    </row>
    <row r="397" spans="1:1" x14ac:dyDescent="0.2">
      <c r="A397" t="s">
        <v>2559</v>
      </c>
    </row>
    <row r="398" spans="1:1" x14ac:dyDescent="0.2">
      <c r="A398" t="s">
        <v>2560</v>
      </c>
    </row>
    <row r="399" spans="1:1" x14ac:dyDescent="0.2">
      <c r="A399" t="s">
        <v>2561</v>
      </c>
    </row>
    <row r="400" spans="1:1" x14ac:dyDescent="0.2">
      <c r="A400" t="s">
        <v>2562</v>
      </c>
    </row>
    <row r="401" spans="1:1" x14ac:dyDescent="0.2">
      <c r="A401" t="s">
        <v>2563</v>
      </c>
    </row>
    <row r="402" spans="1:1" x14ac:dyDescent="0.2">
      <c r="A402" t="s">
        <v>2564</v>
      </c>
    </row>
    <row r="403" spans="1:1" x14ac:dyDescent="0.2">
      <c r="A403" t="s">
        <v>2565</v>
      </c>
    </row>
    <row r="404" spans="1:1" x14ac:dyDescent="0.2">
      <c r="A404" t="s">
        <v>2566</v>
      </c>
    </row>
    <row r="405" spans="1:1" x14ac:dyDescent="0.2">
      <c r="A405" t="s">
        <v>2567</v>
      </c>
    </row>
    <row r="406" spans="1:1" x14ac:dyDescent="0.2">
      <c r="A406" t="s">
        <v>2568</v>
      </c>
    </row>
    <row r="407" spans="1:1" x14ac:dyDescent="0.2">
      <c r="A407" t="s">
        <v>2569</v>
      </c>
    </row>
    <row r="408" spans="1:1" x14ac:dyDescent="0.2">
      <c r="A408" t="s">
        <v>2570</v>
      </c>
    </row>
    <row r="409" spans="1:1" x14ac:dyDescent="0.2">
      <c r="A409" t="s">
        <v>2571</v>
      </c>
    </row>
    <row r="410" spans="1:1" x14ac:dyDescent="0.2">
      <c r="A410" t="s">
        <v>2572</v>
      </c>
    </row>
    <row r="411" spans="1:1" x14ac:dyDescent="0.2">
      <c r="A411" t="s">
        <v>2573</v>
      </c>
    </row>
    <row r="412" spans="1:1" x14ac:dyDescent="0.2">
      <c r="A412" t="s">
        <v>2574</v>
      </c>
    </row>
    <row r="413" spans="1:1" x14ac:dyDescent="0.2">
      <c r="A413" t="s">
        <v>2575</v>
      </c>
    </row>
    <row r="414" spans="1:1" x14ac:dyDescent="0.2">
      <c r="A414" t="s">
        <v>2576</v>
      </c>
    </row>
    <row r="415" spans="1:1" x14ac:dyDescent="0.2">
      <c r="A415" t="s">
        <v>2577</v>
      </c>
    </row>
    <row r="416" spans="1:1" x14ac:dyDescent="0.2">
      <c r="A416" t="s">
        <v>2578</v>
      </c>
    </row>
    <row r="417" spans="1:1" x14ac:dyDescent="0.2">
      <c r="A417" t="s">
        <v>2579</v>
      </c>
    </row>
    <row r="418" spans="1:1" x14ac:dyDescent="0.2">
      <c r="A418" t="s">
        <v>2580</v>
      </c>
    </row>
    <row r="419" spans="1:1" x14ac:dyDescent="0.2">
      <c r="A419" t="s">
        <v>2581</v>
      </c>
    </row>
    <row r="420" spans="1:1" x14ac:dyDescent="0.2">
      <c r="A420" t="s">
        <v>2582</v>
      </c>
    </row>
    <row r="421" spans="1:1" x14ac:dyDescent="0.2">
      <c r="A421" t="s">
        <v>2583</v>
      </c>
    </row>
    <row r="422" spans="1:1" x14ac:dyDescent="0.2">
      <c r="A422" t="s">
        <v>2584</v>
      </c>
    </row>
    <row r="423" spans="1:1" x14ac:dyDescent="0.2">
      <c r="A423" t="s">
        <v>2585</v>
      </c>
    </row>
    <row r="424" spans="1:1" x14ac:dyDescent="0.2">
      <c r="A424" t="s">
        <v>2586</v>
      </c>
    </row>
    <row r="425" spans="1:1" x14ac:dyDescent="0.2">
      <c r="A425" t="s">
        <v>2587</v>
      </c>
    </row>
    <row r="426" spans="1:1" x14ac:dyDescent="0.2">
      <c r="A426" t="s">
        <v>2588</v>
      </c>
    </row>
    <row r="427" spans="1:1" x14ac:dyDescent="0.2">
      <c r="A427" t="s">
        <v>2589</v>
      </c>
    </row>
    <row r="428" spans="1:1" x14ac:dyDescent="0.2">
      <c r="A428" t="s">
        <v>2590</v>
      </c>
    </row>
    <row r="429" spans="1:1" x14ac:dyDescent="0.2">
      <c r="A429" t="s">
        <v>2591</v>
      </c>
    </row>
    <row r="430" spans="1:1" x14ac:dyDescent="0.2">
      <c r="A430" t="s">
        <v>2592</v>
      </c>
    </row>
    <row r="431" spans="1:1" x14ac:dyDescent="0.2">
      <c r="A431" t="s">
        <v>2593</v>
      </c>
    </row>
    <row r="432" spans="1:1" x14ac:dyDescent="0.2">
      <c r="A432" t="s">
        <v>2594</v>
      </c>
    </row>
    <row r="433" spans="1:1" x14ac:dyDescent="0.2">
      <c r="A433" t="s">
        <v>2595</v>
      </c>
    </row>
    <row r="434" spans="1:1" x14ac:dyDescent="0.2">
      <c r="A434" t="s">
        <v>2596</v>
      </c>
    </row>
    <row r="435" spans="1:1" x14ac:dyDescent="0.2">
      <c r="A435" t="s">
        <v>2597</v>
      </c>
    </row>
    <row r="436" spans="1:1" x14ac:dyDescent="0.2">
      <c r="A436" t="s">
        <v>2598</v>
      </c>
    </row>
    <row r="437" spans="1:1" x14ac:dyDescent="0.2">
      <c r="A437" t="s">
        <v>2599</v>
      </c>
    </row>
    <row r="438" spans="1:1" x14ac:dyDescent="0.2">
      <c r="A438" t="s">
        <v>2600</v>
      </c>
    </row>
    <row r="439" spans="1:1" x14ac:dyDescent="0.2">
      <c r="A439" t="s">
        <v>2601</v>
      </c>
    </row>
    <row r="440" spans="1:1" x14ac:dyDescent="0.2">
      <c r="A440" t="s">
        <v>2602</v>
      </c>
    </row>
    <row r="441" spans="1:1" x14ac:dyDescent="0.2">
      <c r="A441" t="s">
        <v>2603</v>
      </c>
    </row>
    <row r="442" spans="1:1" x14ac:dyDescent="0.2">
      <c r="A442" t="s">
        <v>2604</v>
      </c>
    </row>
    <row r="443" spans="1:1" x14ac:dyDescent="0.2">
      <c r="A443" t="s">
        <v>2605</v>
      </c>
    </row>
    <row r="444" spans="1:1" x14ac:dyDescent="0.2">
      <c r="A444" t="s">
        <v>2606</v>
      </c>
    </row>
    <row r="445" spans="1:1" x14ac:dyDescent="0.2">
      <c r="A445" t="s">
        <v>2607</v>
      </c>
    </row>
    <row r="446" spans="1:1" x14ac:dyDescent="0.2">
      <c r="A446" t="s">
        <v>2608</v>
      </c>
    </row>
    <row r="447" spans="1:1" x14ac:dyDescent="0.2">
      <c r="A447" t="s">
        <v>2609</v>
      </c>
    </row>
    <row r="448" spans="1:1" x14ac:dyDescent="0.2">
      <c r="A448" t="s">
        <v>2610</v>
      </c>
    </row>
    <row r="449" spans="1:1" x14ac:dyDescent="0.2">
      <c r="A449" t="s">
        <v>2611</v>
      </c>
    </row>
    <row r="450" spans="1:1" x14ac:dyDescent="0.2">
      <c r="A450" t="s">
        <v>2612</v>
      </c>
    </row>
    <row r="451" spans="1:1" x14ac:dyDescent="0.2">
      <c r="A451" t="s">
        <v>2613</v>
      </c>
    </row>
    <row r="452" spans="1:1" x14ac:dyDescent="0.2">
      <c r="A452" t="s">
        <v>2614</v>
      </c>
    </row>
    <row r="453" spans="1:1" x14ac:dyDescent="0.2">
      <c r="A453" t="s">
        <v>2615</v>
      </c>
    </row>
    <row r="454" spans="1:1" x14ac:dyDescent="0.2">
      <c r="A454" t="s">
        <v>2616</v>
      </c>
    </row>
    <row r="455" spans="1:1" x14ac:dyDescent="0.2">
      <c r="A455" t="s">
        <v>2617</v>
      </c>
    </row>
    <row r="456" spans="1:1" x14ac:dyDescent="0.2">
      <c r="A456" t="s">
        <v>2618</v>
      </c>
    </row>
    <row r="457" spans="1:1" x14ac:dyDescent="0.2">
      <c r="A457" t="s">
        <v>2619</v>
      </c>
    </row>
    <row r="458" spans="1:1" x14ac:dyDescent="0.2">
      <c r="A458" t="s">
        <v>2620</v>
      </c>
    </row>
    <row r="459" spans="1:1" x14ac:dyDescent="0.2">
      <c r="A459" t="s">
        <v>2621</v>
      </c>
    </row>
    <row r="460" spans="1:1" x14ac:dyDescent="0.2">
      <c r="A460" t="s">
        <v>2622</v>
      </c>
    </row>
    <row r="461" spans="1:1" x14ac:dyDescent="0.2">
      <c r="A461" t="s">
        <v>2623</v>
      </c>
    </row>
    <row r="462" spans="1:1" x14ac:dyDescent="0.2">
      <c r="A462" t="s">
        <v>2624</v>
      </c>
    </row>
    <row r="463" spans="1:1" x14ac:dyDescent="0.2">
      <c r="A463" t="s">
        <v>2625</v>
      </c>
    </row>
    <row r="464" spans="1:1" x14ac:dyDescent="0.2">
      <c r="A464" t="s">
        <v>2626</v>
      </c>
    </row>
    <row r="465" spans="1:1" x14ac:dyDescent="0.2">
      <c r="A465" t="s">
        <v>2627</v>
      </c>
    </row>
    <row r="466" spans="1:1" x14ac:dyDescent="0.2">
      <c r="A466" t="s">
        <v>2628</v>
      </c>
    </row>
    <row r="467" spans="1:1" x14ac:dyDescent="0.2">
      <c r="A467" t="s">
        <v>2629</v>
      </c>
    </row>
    <row r="468" spans="1:1" x14ac:dyDescent="0.2">
      <c r="A468" t="s">
        <v>2630</v>
      </c>
    </row>
    <row r="469" spans="1:1" x14ac:dyDescent="0.2">
      <c r="A469" t="s">
        <v>2631</v>
      </c>
    </row>
    <row r="470" spans="1:1" x14ac:dyDescent="0.2">
      <c r="A470" t="s">
        <v>2632</v>
      </c>
    </row>
    <row r="471" spans="1:1" x14ac:dyDescent="0.2">
      <c r="A471" t="s">
        <v>2633</v>
      </c>
    </row>
    <row r="472" spans="1:1" x14ac:dyDescent="0.2">
      <c r="A472" t="s">
        <v>2634</v>
      </c>
    </row>
    <row r="473" spans="1:1" x14ac:dyDescent="0.2">
      <c r="A473" t="s">
        <v>2635</v>
      </c>
    </row>
    <row r="474" spans="1:1" x14ac:dyDescent="0.2">
      <c r="A474" t="s">
        <v>2636</v>
      </c>
    </row>
    <row r="475" spans="1:1" x14ac:dyDescent="0.2">
      <c r="A475" t="s">
        <v>2637</v>
      </c>
    </row>
    <row r="476" spans="1:1" x14ac:dyDescent="0.2">
      <c r="A476" t="s">
        <v>2638</v>
      </c>
    </row>
    <row r="477" spans="1:1" x14ac:dyDescent="0.2">
      <c r="A477" t="s">
        <v>2639</v>
      </c>
    </row>
    <row r="478" spans="1:1" x14ac:dyDescent="0.2">
      <c r="A478" t="s">
        <v>2640</v>
      </c>
    </row>
    <row r="479" spans="1:1" x14ac:dyDescent="0.2">
      <c r="A479" t="s">
        <v>2641</v>
      </c>
    </row>
    <row r="480" spans="1:1" x14ac:dyDescent="0.2">
      <c r="A480" t="s">
        <v>2642</v>
      </c>
    </row>
    <row r="481" spans="1:1" x14ac:dyDescent="0.2">
      <c r="A481" t="s">
        <v>2643</v>
      </c>
    </row>
    <row r="482" spans="1:1" x14ac:dyDescent="0.2">
      <c r="A482" t="s">
        <v>2644</v>
      </c>
    </row>
    <row r="483" spans="1:1" x14ac:dyDescent="0.2">
      <c r="A483" t="s">
        <v>2645</v>
      </c>
    </row>
    <row r="484" spans="1:1" x14ac:dyDescent="0.2">
      <c r="A484" t="s">
        <v>2646</v>
      </c>
    </row>
    <row r="485" spans="1:1" x14ac:dyDescent="0.2">
      <c r="A485" t="s">
        <v>2647</v>
      </c>
    </row>
    <row r="486" spans="1:1" x14ac:dyDescent="0.2">
      <c r="A486" t="s">
        <v>2648</v>
      </c>
    </row>
    <row r="487" spans="1:1" x14ac:dyDescent="0.2">
      <c r="A487" t="s">
        <v>2649</v>
      </c>
    </row>
    <row r="488" spans="1:1" x14ac:dyDescent="0.2">
      <c r="A488" t="s">
        <v>2650</v>
      </c>
    </row>
    <row r="489" spans="1:1" x14ac:dyDescent="0.2">
      <c r="A489" t="s">
        <v>2651</v>
      </c>
    </row>
    <row r="490" spans="1:1" x14ac:dyDescent="0.2">
      <c r="A490" t="s">
        <v>2652</v>
      </c>
    </row>
    <row r="491" spans="1:1" x14ac:dyDescent="0.2">
      <c r="A491" t="s">
        <v>2653</v>
      </c>
    </row>
    <row r="492" spans="1:1" x14ac:dyDescent="0.2">
      <c r="A492" t="s">
        <v>2654</v>
      </c>
    </row>
    <row r="493" spans="1:1" x14ac:dyDescent="0.2">
      <c r="A493" t="s">
        <v>2655</v>
      </c>
    </row>
    <row r="494" spans="1:1" x14ac:dyDescent="0.2">
      <c r="A494" t="s">
        <v>2656</v>
      </c>
    </row>
    <row r="495" spans="1:1" x14ac:dyDescent="0.2">
      <c r="A495" t="s">
        <v>2657</v>
      </c>
    </row>
    <row r="496" spans="1:1" x14ac:dyDescent="0.2">
      <c r="A496" t="s">
        <v>2658</v>
      </c>
    </row>
    <row r="497" spans="1:1" x14ac:dyDescent="0.2">
      <c r="A497" t="s">
        <v>2659</v>
      </c>
    </row>
    <row r="498" spans="1:1" x14ac:dyDescent="0.2">
      <c r="A498" t="s">
        <v>2660</v>
      </c>
    </row>
    <row r="499" spans="1:1" x14ac:dyDescent="0.2">
      <c r="A499" t="s">
        <v>2661</v>
      </c>
    </row>
    <row r="500" spans="1:1" x14ac:dyDescent="0.2">
      <c r="A500" t="s">
        <v>2662</v>
      </c>
    </row>
    <row r="501" spans="1:1" x14ac:dyDescent="0.2">
      <c r="A501" t="s">
        <v>2663</v>
      </c>
    </row>
    <row r="502" spans="1:1" x14ac:dyDescent="0.2">
      <c r="A502" t="s">
        <v>2664</v>
      </c>
    </row>
    <row r="503" spans="1:1" x14ac:dyDescent="0.2">
      <c r="A503" t="s">
        <v>2665</v>
      </c>
    </row>
    <row r="504" spans="1:1" x14ac:dyDescent="0.2">
      <c r="A504" t="s">
        <v>2666</v>
      </c>
    </row>
    <row r="505" spans="1:1" x14ac:dyDescent="0.2">
      <c r="A505" t="s">
        <v>2667</v>
      </c>
    </row>
    <row r="506" spans="1:1" x14ac:dyDescent="0.2">
      <c r="A506" t="s">
        <v>2668</v>
      </c>
    </row>
    <row r="507" spans="1:1" x14ac:dyDescent="0.2">
      <c r="A507" t="s">
        <v>2669</v>
      </c>
    </row>
    <row r="508" spans="1:1" x14ac:dyDescent="0.2">
      <c r="A508" t="s">
        <v>2670</v>
      </c>
    </row>
    <row r="509" spans="1:1" x14ac:dyDescent="0.2">
      <c r="A509" t="s">
        <v>2671</v>
      </c>
    </row>
    <row r="510" spans="1:1" x14ac:dyDescent="0.2">
      <c r="A510" t="s">
        <v>2672</v>
      </c>
    </row>
    <row r="511" spans="1:1" x14ac:dyDescent="0.2">
      <c r="A511" t="s">
        <v>2673</v>
      </c>
    </row>
    <row r="512" spans="1:1" x14ac:dyDescent="0.2">
      <c r="A512" t="s">
        <v>2674</v>
      </c>
    </row>
    <row r="513" spans="1:1" x14ac:dyDescent="0.2">
      <c r="A513" t="s">
        <v>2675</v>
      </c>
    </row>
    <row r="514" spans="1:1" x14ac:dyDescent="0.2">
      <c r="A514" t="s">
        <v>2676</v>
      </c>
    </row>
    <row r="515" spans="1:1" x14ac:dyDescent="0.2">
      <c r="A515" t="s">
        <v>2677</v>
      </c>
    </row>
    <row r="516" spans="1:1" x14ac:dyDescent="0.2">
      <c r="A516" t="s">
        <v>2678</v>
      </c>
    </row>
    <row r="517" spans="1:1" x14ac:dyDescent="0.2">
      <c r="A517" t="s">
        <v>2679</v>
      </c>
    </row>
    <row r="518" spans="1:1" x14ac:dyDescent="0.2">
      <c r="A518" t="s">
        <v>2680</v>
      </c>
    </row>
    <row r="519" spans="1:1" x14ac:dyDescent="0.2">
      <c r="A519" t="s">
        <v>2681</v>
      </c>
    </row>
    <row r="520" spans="1:1" x14ac:dyDescent="0.2">
      <c r="A520" t="s">
        <v>2682</v>
      </c>
    </row>
    <row r="521" spans="1:1" x14ac:dyDescent="0.2">
      <c r="A521" t="s">
        <v>2683</v>
      </c>
    </row>
    <row r="522" spans="1:1" x14ac:dyDescent="0.2">
      <c r="A522" t="s">
        <v>2684</v>
      </c>
    </row>
    <row r="523" spans="1:1" x14ac:dyDescent="0.2">
      <c r="A523" t="s">
        <v>2685</v>
      </c>
    </row>
    <row r="524" spans="1:1" x14ac:dyDescent="0.2">
      <c r="A524" t="s">
        <v>2686</v>
      </c>
    </row>
    <row r="525" spans="1:1" x14ac:dyDescent="0.2">
      <c r="A525" t="s">
        <v>2687</v>
      </c>
    </row>
    <row r="526" spans="1:1" x14ac:dyDescent="0.2">
      <c r="A526" t="s">
        <v>2688</v>
      </c>
    </row>
    <row r="527" spans="1:1" x14ac:dyDescent="0.2">
      <c r="A527" t="s">
        <v>2689</v>
      </c>
    </row>
    <row r="528" spans="1:1" x14ac:dyDescent="0.2">
      <c r="A528" t="s">
        <v>2690</v>
      </c>
    </row>
    <row r="529" spans="1:1" x14ac:dyDescent="0.2">
      <c r="A529" t="s">
        <v>2691</v>
      </c>
    </row>
    <row r="530" spans="1:1" x14ac:dyDescent="0.2">
      <c r="A530" t="s">
        <v>2692</v>
      </c>
    </row>
    <row r="531" spans="1:1" x14ac:dyDescent="0.2">
      <c r="A531" t="s">
        <v>2693</v>
      </c>
    </row>
    <row r="532" spans="1:1" x14ac:dyDescent="0.2">
      <c r="A532" t="s">
        <v>2694</v>
      </c>
    </row>
    <row r="533" spans="1:1" x14ac:dyDescent="0.2">
      <c r="A533" t="s">
        <v>2695</v>
      </c>
    </row>
    <row r="534" spans="1:1" x14ac:dyDescent="0.2">
      <c r="A534" t="s">
        <v>2696</v>
      </c>
    </row>
    <row r="535" spans="1:1" x14ac:dyDescent="0.2">
      <c r="A535" t="s">
        <v>2697</v>
      </c>
    </row>
    <row r="536" spans="1:1" x14ac:dyDescent="0.2">
      <c r="A536" t="s">
        <v>2698</v>
      </c>
    </row>
    <row r="537" spans="1:1" x14ac:dyDescent="0.2">
      <c r="A537" t="s">
        <v>2699</v>
      </c>
    </row>
    <row r="538" spans="1:1" x14ac:dyDescent="0.2">
      <c r="A538" t="s">
        <v>2700</v>
      </c>
    </row>
    <row r="539" spans="1:1" x14ac:dyDescent="0.2">
      <c r="A539" t="s">
        <v>2701</v>
      </c>
    </row>
    <row r="540" spans="1:1" x14ac:dyDescent="0.2">
      <c r="A540" t="s">
        <v>2702</v>
      </c>
    </row>
    <row r="541" spans="1:1" x14ac:dyDescent="0.2">
      <c r="A541" t="s">
        <v>2703</v>
      </c>
    </row>
    <row r="542" spans="1:1" x14ac:dyDescent="0.2">
      <c r="A542" t="s">
        <v>2704</v>
      </c>
    </row>
    <row r="543" spans="1:1" x14ac:dyDescent="0.2">
      <c r="A543" t="s">
        <v>2705</v>
      </c>
    </row>
    <row r="544" spans="1:1" x14ac:dyDescent="0.2">
      <c r="A544" t="s">
        <v>2706</v>
      </c>
    </row>
    <row r="545" spans="1:1" x14ac:dyDescent="0.2">
      <c r="A545" t="s">
        <v>2707</v>
      </c>
    </row>
    <row r="546" spans="1:1" x14ac:dyDescent="0.2">
      <c r="A546" t="s">
        <v>2708</v>
      </c>
    </row>
    <row r="547" spans="1:1" x14ac:dyDescent="0.2">
      <c r="A547" t="s">
        <v>2709</v>
      </c>
    </row>
    <row r="548" spans="1:1" x14ac:dyDescent="0.2">
      <c r="A548" t="s">
        <v>2710</v>
      </c>
    </row>
    <row r="549" spans="1:1" x14ac:dyDescent="0.2">
      <c r="A549" t="s">
        <v>2711</v>
      </c>
    </row>
    <row r="550" spans="1:1" x14ac:dyDescent="0.2">
      <c r="A550" t="s">
        <v>2712</v>
      </c>
    </row>
    <row r="551" spans="1:1" x14ac:dyDescent="0.2">
      <c r="A551" t="s">
        <v>2713</v>
      </c>
    </row>
    <row r="552" spans="1:1" x14ac:dyDescent="0.2">
      <c r="A552" t="s">
        <v>2714</v>
      </c>
    </row>
    <row r="553" spans="1:1" x14ac:dyDescent="0.2">
      <c r="A553" t="s">
        <v>2715</v>
      </c>
    </row>
    <row r="554" spans="1:1" x14ac:dyDescent="0.2">
      <c r="A554" t="s">
        <v>2716</v>
      </c>
    </row>
    <row r="555" spans="1:1" x14ac:dyDescent="0.2">
      <c r="A555" t="s">
        <v>2717</v>
      </c>
    </row>
    <row r="556" spans="1:1" x14ac:dyDescent="0.2">
      <c r="A556" t="s">
        <v>2718</v>
      </c>
    </row>
    <row r="557" spans="1:1" x14ac:dyDescent="0.2">
      <c r="A557" t="s">
        <v>2719</v>
      </c>
    </row>
    <row r="558" spans="1:1" x14ac:dyDescent="0.2">
      <c r="A558" t="s">
        <v>2720</v>
      </c>
    </row>
    <row r="559" spans="1:1" x14ac:dyDescent="0.2">
      <c r="A559" t="s">
        <v>2721</v>
      </c>
    </row>
    <row r="560" spans="1:1" x14ac:dyDescent="0.2">
      <c r="A560" t="s">
        <v>2722</v>
      </c>
    </row>
    <row r="561" spans="1:1" x14ac:dyDescent="0.2">
      <c r="A561" t="s">
        <v>2723</v>
      </c>
    </row>
    <row r="562" spans="1:1" x14ac:dyDescent="0.2">
      <c r="A562" t="s">
        <v>2724</v>
      </c>
    </row>
    <row r="563" spans="1:1" x14ac:dyDescent="0.2">
      <c r="A563" t="s">
        <v>2725</v>
      </c>
    </row>
    <row r="564" spans="1:1" x14ac:dyDescent="0.2">
      <c r="A564" t="s">
        <v>2726</v>
      </c>
    </row>
    <row r="565" spans="1:1" x14ac:dyDescent="0.2">
      <c r="A565" t="s">
        <v>2727</v>
      </c>
    </row>
    <row r="566" spans="1:1" x14ac:dyDescent="0.2">
      <c r="A566" t="s">
        <v>2728</v>
      </c>
    </row>
    <row r="567" spans="1:1" x14ac:dyDescent="0.2">
      <c r="A567" t="s">
        <v>2729</v>
      </c>
    </row>
    <row r="568" spans="1:1" x14ac:dyDescent="0.2">
      <c r="A568" t="s">
        <v>2730</v>
      </c>
    </row>
    <row r="569" spans="1:1" x14ac:dyDescent="0.2">
      <c r="A569" t="s">
        <v>2731</v>
      </c>
    </row>
    <row r="570" spans="1:1" x14ac:dyDescent="0.2">
      <c r="A570" t="s">
        <v>2732</v>
      </c>
    </row>
    <row r="571" spans="1:1" x14ac:dyDescent="0.2">
      <c r="A571" t="s">
        <v>2733</v>
      </c>
    </row>
    <row r="572" spans="1:1" x14ac:dyDescent="0.2">
      <c r="A572" t="s">
        <v>2734</v>
      </c>
    </row>
    <row r="573" spans="1:1" x14ac:dyDescent="0.2">
      <c r="A573" t="s">
        <v>2735</v>
      </c>
    </row>
    <row r="574" spans="1:1" x14ac:dyDescent="0.2">
      <c r="A574" t="s">
        <v>2736</v>
      </c>
    </row>
    <row r="575" spans="1:1" x14ac:dyDescent="0.2">
      <c r="A575" t="s">
        <v>2737</v>
      </c>
    </row>
    <row r="576" spans="1:1" x14ac:dyDescent="0.2">
      <c r="A576" t="s">
        <v>2738</v>
      </c>
    </row>
    <row r="577" spans="1:1" x14ac:dyDescent="0.2">
      <c r="A577" t="s">
        <v>2739</v>
      </c>
    </row>
    <row r="578" spans="1:1" x14ac:dyDescent="0.2">
      <c r="A578" t="s">
        <v>2740</v>
      </c>
    </row>
    <row r="579" spans="1:1" x14ac:dyDescent="0.2">
      <c r="A579" t="s">
        <v>2741</v>
      </c>
    </row>
    <row r="580" spans="1:1" x14ac:dyDescent="0.2">
      <c r="A580" t="s">
        <v>2742</v>
      </c>
    </row>
    <row r="581" spans="1:1" x14ac:dyDescent="0.2">
      <c r="A581" t="s">
        <v>2743</v>
      </c>
    </row>
    <row r="582" spans="1:1" x14ac:dyDescent="0.2">
      <c r="A582" t="s">
        <v>2744</v>
      </c>
    </row>
    <row r="583" spans="1:1" x14ac:dyDescent="0.2">
      <c r="A583" t="s">
        <v>2745</v>
      </c>
    </row>
    <row r="584" spans="1:1" x14ac:dyDescent="0.2">
      <c r="A584" t="s">
        <v>2746</v>
      </c>
    </row>
    <row r="585" spans="1:1" x14ac:dyDescent="0.2">
      <c r="A585" t="s">
        <v>2747</v>
      </c>
    </row>
    <row r="586" spans="1:1" x14ac:dyDescent="0.2">
      <c r="A586" t="s">
        <v>2748</v>
      </c>
    </row>
    <row r="587" spans="1:1" x14ac:dyDescent="0.2">
      <c r="A587" t="s">
        <v>2749</v>
      </c>
    </row>
    <row r="588" spans="1:1" x14ac:dyDescent="0.2">
      <c r="A588" t="s">
        <v>2750</v>
      </c>
    </row>
    <row r="589" spans="1:1" x14ac:dyDescent="0.2">
      <c r="A589" t="s">
        <v>2751</v>
      </c>
    </row>
    <row r="590" spans="1:1" x14ac:dyDescent="0.2">
      <c r="A590" t="s">
        <v>2752</v>
      </c>
    </row>
    <row r="591" spans="1:1" x14ac:dyDescent="0.2">
      <c r="A591" t="s">
        <v>2753</v>
      </c>
    </row>
    <row r="592" spans="1:1" x14ac:dyDescent="0.2">
      <c r="A592" t="s">
        <v>2754</v>
      </c>
    </row>
    <row r="593" spans="1:1" x14ac:dyDescent="0.2">
      <c r="A593" t="s">
        <v>2755</v>
      </c>
    </row>
    <row r="594" spans="1:1" x14ac:dyDescent="0.2">
      <c r="A594" t="s">
        <v>2756</v>
      </c>
    </row>
    <row r="595" spans="1:1" x14ac:dyDescent="0.2">
      <c r="A595" t="s">
        <v>2757</v>
      </c>
    </row>
    <row r="596" spans="1:1" x14ac:dyDescent="0.2">
      <c r="A596" t="s">
        <v>2758</v>
      </c>
    </row>
    <row r="597" spans="1:1" x14ac:dyDescent="0.2">
      <c r="A597" t="s">
        <v>2759</v>
      </c>
    </row>
    <row r="598" spans="1:1" x14ac:dyDescent="0.2">
      <c r="A598" t="s">
        <v>2760</v>
      </c>
    </row>
    <row r="599" spans="1:1" x14ac:dyDescent="0.2">
      <c r="A599" t="s">
        <v>2761</v>
      </c>
    </row>
    <row r="600" spans="1:1" x14ac:dyDescent="0.2">
      <c r="A600" t="s">
        <v>2762</v>
      </c>
    </row>
    <row r="601" spans="1:1" x14ac:dyDescent="0.2">
      <c r="A601" t="s">
        <v>2763</v>
      </c>
    </row>
    <row r="602" spans="1:1" x14ac:dyDescent="0.2">
      <c r="A602" t="s">
        <v>2764</v>
      </c>
    </row>
    <row r="603" spans="1:1" x14ac:dyDescent="0.2">
      <c r="A603" t="s">
        <v>2765</v>
      </c>
    </row>
    <row r="604" spans="1:1" x14ac:dyDescent="0.2">
      <c r="A604" t="s">
        <v>2766</v>
      </c>
    </row>
    <row r="605" spans="1:1" x14ac:dyDescent="0.2">
      <c r="A605" t="s">
        <v>2767</v>
      </c>
    </row>
    <row r="606" spans="1:1" x14ac:dyDescent="0.2">
      <c r="A606" t="s">
        <v>2768</v>
      </c>
    </row>
    <row r="607" spans="1:1" x14ac:dyDescent="0.2">
      <c r="A607" t="s">
        <v>2769</v>
      </c>
    </row>
    <row r="608" spans="1:1" x14ac:dyDescent="0.2">
      <c r="A608" t="s">
        <v>2770</v>
      </c>
    </row>
    <row r="609" spans="1:1" x14ac:dyDescent="0.2">
      <c r="A609" t="s">
        <v>2771</v>
      </c>
    </row>
    <row r="610" spans="1:1" x14ac:dyDescent="0.2">
      <c r="A610" t="s">
        <v>2772</v>
      </c>
    </row>
    <row r="611" spans="1:1" x14ac:dyDescent="0.2">
      <c r="A611" t="s">
        <v>2773</v>
      </c>
    </row>
    <row r="612" spans="1:1" x14ac:dyDescent="0.2">
      <c r="A612" t="s">
        <v>2774</v>
      </c>
    </row>
    <row r="613" spans="1:1" x14ac:dyDescent="0.2">
      <c r="A613" t="s">
        <v>2775</v>
      </c>
    </row>
    <row r="614" spans="1:1" x14ac:dyDescent="0.2">
      <c r="A614" t="s">
        <v>2776</v>
      </c>
    </row>
    <row r="615" spans="1:1" x14ac:dyDescent="0.2">
      <c r="A615" t="s">
        <v>2777</v>
      </c>
    </row>
    <row r="616" spans="1:1" x14ac:dyDescent="0.2">
      <c r="A616" t="s">
        <v>2778</v>
      </c>
    </row>
    <row r="617" spans="1:1" x14ac:dyDescent="0.2">
      <c r="A617" t="s">
        <v>2779</v>
      </c>
    </row>
    <row r="618" spans="1:1" x14ac:dyDescent="0.2">
      <c r="A618" t="s">
        <v>2780</v>
      </c>
    </row>
    <row r="619" spans="1:1" x14ac:dyDescent="0.2">
      <c r="A619" t="s">
        <v>2781</v>
      </c>
    </row>
    <row r="620" spans="1:1" x14ac:dyDescent="0.2">
      <c r="A620" t="s">
        <v>2782</v>
      </c>
    </row>
    <row r="621" spans="1:1" x14ac:dyDescent="0.2">
      <c r="A621" t="s">
        <v>2783</v>
      </c>
    </row>
    <row r="622" spans="1:1" x14ac:dyDescent="0.2">
      <c r="A622" t="s">
        <v>2784</v>
      </c>
    </row>
    <row r="623" spans="1:1" x14ac:dyDescent="0.2">
      <c r="A623" t="s">
        <v>2785</v>
      </c>
    </row>
    <row r="624" spans="1:1" x14ac:dyDescent="0.2">
      <c r="A624" t="s">
        <v>2786</v>
      </c>
    </row>
    <row r="625" spans="1:1" x14ac:dyDescent="0.2">
      <c r="A625" t="s">
        <v>2787</v>
      </c>
    </row>
    <row r="626" spans="1:1" x14ac:dyDescent="0.2">
      <c r="A626" t="s">
        <v>2788</v>
      </c>
    </row>
    <row r="627" spans="1:1" x14ac:dyDescent="0.2">
      <c r="A627" t="s">
        <v>2789</v>
      </c>
    </row>
    <row r="628" spans="1:1" x14ac:dyDescent="0.2">
      <c r="A628" t="s">
        <v>2790</v>
      </c>
    </row>
    <row r="629" spans="1:1" x14ac:dyDescent="0.2">
      <c r="A629" t="s">
        <v>2791</v>
      </c>
    </row>
    <row r="630" spans="1:1" x14ac:dyDescent="0.2">
      <c r="A630" t="s">
        <v>2792</v>
      </c>
    </row>
    <row r="631" spans="1:1" x14ac:dyDescent="0.2">
      <c r="A631" t="s">
        <v>2793</v>
      </c>
    </row>
    <row r="632" spans="1:1" x14ac:dyDescent="0.2">
      <c r="A632" t="s">
        <v>2794</v>
      </c>
    </row>
    <row r="633" spans="1:1" x14ac:dyDescent="0.2">
      <c r="A633" t="s">
        <v>2795</v>
      </c>
    </row>
    <row r="634" spans="1:1" x14ac:dyDescent="0.2">
      <c r="A634" t="s">
        <v>2796</v>
      </c>
    </row>
    <row r="635" spans="1:1" x14ac:dyDescent="0.2">
      <c r="A635" t="s">
        <v>2797</v>
      </c>
    </row>
    <row r="636" spans="1:1" x14ac:dyDescent="0.2">
      <c r="A636" t="s">
        <v>2798</v>
      </c>
    </row>
    <row r="637" spans="1:1" x14ac:dyDescent="0.2">
      <c r="A637" t="s">
        <v>2799</v>
      </c>
    </row>
    <row r="638" spans="1:1" x14ac:dyDescent="0.2">
      <c r="A638" t="s">
        <v>2800</v>
      </c>
    </row>
    <row r="639" spans="1:1" x14ac:dyDescent="0.2">
      <c r="A639" t="s">
        <v>2801</v>
      </c>
    </row>
    <row r="640" spans="1:1" x14ac:dyDescent="0.2">
      <c r="A640" t="s">
        <v>2802</v>
      </c>
    </row>
    <row r="641" spans="1:1" x14ac:dyDescent="0.2">
      <c r="A641" t="s">
        <v>2803</v>
      </c>
    </row>
    <row r="642" spans="1:1" x14ac:dyDescent="0.2">
      <c r="A642" t="s">
        <v>2804</v>
      </c>
    </row>
    <row r="643" spans="1:1" x14ac:dyDescent="0.2">
      <c r="A643" t="s">
        <v>2805</v>
      </c>
    </row>
    <row r="644" spans="1:1" x14ac:dyDescent="0.2">
      <c r="A644" t="s">
        <v>2806</v>
      </c>
    </row>
    <row r="645" spans="1:1" x14ac:dyDescent="0.2">
      <c r="A645" t="s">
        <v>2807</v>
      </c>
    </row>
    <row r="646" spans="1:1" x14ac:dyDescent="0.2">
      <c r="A646" t="s">
        <v>2808</v>
      </c>
    </row>
    <row r="647" spans="1:1" x14ac:dyDescent="0.2">
      <c r="A647" t="s">
        <v>2809</v>
      </c>
    </row>
    <row r="648" spans="1:1" x14ac:dyDescent="0.2">
      <c r="A648" t="s">
        <v>2810</v>
      </c>
    </row>
    <row r="649" spans="1:1" x14ac:dyDescent="0.2">
      <c r="A649" t="s">
        <v>2811</v>
      </c>
    </row>
    <row r="650" spans="1:1" x14ac:dyDescent="0.2">
      <c r="A650" t="s">
        <v>2812</v>
      </c>
    </row>
    <row r="651" spans="1:1" x14ac:dyDescent="0.2">
      <c r="A651" t="s">
        <v>2813</v>
      </c>
    </row>
    <row r="652" spans="1:1" x14ac:dyDescent="0.2">
      <c r="A652" t="s">
        <v>2814</v>
      </c>
    </row>
    <row r="653" spans="1:1" x14ac:dyDescent="0.2">
      <c r="A653" t="s">
        <v>2815</v>
      </c>
    </row>
    <row r="654" spans="1:1" x14ac:dyDescent="0.2">
      <c r="A654" t="s">
        <v>2816</v>
      </c>
    </row>
    <row r="655" spans="1:1" x14ac:dyDescent="0.2">
      <c r="A655" t="s">
        <v>2817</v>
      </c>
    </row>
    <row r="656" spans="1:1" x14ac:dyDescent="0.2">
      <c r="A656" t="s">
        <v>2818</v>
      </c>
    </row>
    <row r="657" spans="1:1" x14ac:dyDescent="0.2">
      <c r="A657" t="s">
        <v>2819</v>
      </c>
    </row>
    <row r="658" spans="1:1" x14ac:dyDescent="0.2">
      <c r="A658" t="s">
        <v>2820</v>
      </c>
    </row>
    <row r="659" spans="1:1" x14ac:dyDescent="0.2">
      <c r="A659" t="s">
        <v>2821</v>
      </c>
    </row>
    <row r="660" spans="1:1" x14ac:dyDescent="0.2">
      <c r="A660" t="s">
        <v>2822</v>
      </c>
    </row>
    <row r="661" spans="1:1" x14ac:dyDescent="0.2">
      <c r="A661" t="s">
        <v>2823</v>
      </c>
    </row>
    <row r="662" spans="1:1" x14ac:dyDescent="0.2">
      <c r="A662" t="s">
        <v>2824</v>
      </c>
    </row>
    <row r="663" spans="1:1" x14ac:dyDescent="0.2">
      <c r="A663" t="s">
        <v>2825</v>
      </c>
    </row>
    <row r="664" spans="1:1" x14ac:dyDescent="0.2">
      <c r="A664" t="s">
        <v>2826</v>
      </c>
    </row>
    <row r="665" spans="1:1" x14ac:dyDescent="0.2">
      <c r="A665" t="s">
        <v>2827</v>
      </c>
    </row>
    <row r="666" spans="1:1" x14ac:dyDescent="0.2">
      <c r="A666" t="s">
        <v>2828</v>
      </c>
    </row>
    <row r="667" spans="1:1" x14ac:dyDescent="0.2">
      <c r="A667" t="s">
        <v>2829</v>
      </c>
    </row>
    <row r="668" spans="1:1" x14ac:dyDescent="0.2">
      <c r="A668" t="s">
        <v>2830</v>
      </c>
    </row>
    <row r="669" spans="1:1" x14ac:dyDescent="0.2">
      <c r="A669" t="s">
        <v>2831</v>
      </c>
    </row>
    <row r="670" spans="1:1" x14ac:dyDescent="0.2">
      <c r="A670" t="s">
        <v>2832</v>
      </c>
    </row>
    <row r="671" spans="1:1" x14ac:dyDescent="0.2">
      <c r="A671" t="s">
        <v>2833</v>
      </c>
    </row>
    <row r="672" spans="1:1" x14ac:dyDescent="0.2">
      <c r="A672" t="s">
        <v>2834</v>
      </c>
    </row>
    <row r="673" spans="1:1" x14ac:dyDescent="0.2">
      <c r="A673" t="s">
        <v>2835</v>
      </c>
    </row>
    <row r="674" spans="1:1" x14ac:dyDescent="0.2">
      <c r="A674" t="s">
        <v>2836</v>
      </c>
    </row>
    <row r="675" spans="1:1" x14ac:dyDescent="0.2">
      <c r="A675" t="s">
        <v>2837</v>
      </c>
    </row>
    <row r="676" spans="1:1" x14ac:dyDescent="0.2">
      <c r="A676" t="s">
        <v>2838</v>
      </c>
    </row>
    <row r="677" spans="1:1" x14ac:dyDescent="0.2">
      <c r="A677" t="s">
        <v>2839</v>
      </c>
    </row>
    <row r="678" spans="1:1" x14ac:dyDescent="0.2">
      <c r="A678" t="s">
        <v>2840</v>
      </c>
    </row>
    <row r="679" spans="1:1" x14ac:dyDescent="0.2">
      <c r="A679" t="s">
        <v>2841</v>
      </c>
    </row>
    <row r="680" spans="1:1" x14ac:dyDescent="0.2">
      <c r="A680" t="s">
        <v>2842</v>
      </c>
    </row>
    <row r="681" spans="1:1" x14ac:dyDescent="0.2">
      <c r="A681" t="s">
        <v>2843</v>
      </c>
    </row>
    <row r="682" spans="1:1" x14ac:dyDescent="0.2">
      <c r="A682" t="s">
        <v>2844</v>
      </c>
    </row>
    <row r="683" spans="1:1" x14ac:dyDescent="0.2">
      <c r="A683" t="s">
        <v>2845</v>
      </c>
    </row>
    <row r="684" spans="1:1" x14ac:dyDescent="0.2">
      <c r="A684" t="s">
        <v>2846</v>
      </c>
    </row>
    <row r="685" spans="1:1" x14ac:dyDescent="0.2">
      <c r="A685" t="s">
        <v>2847</v>
      </c>
    </row>
    <row r="686" spans="1:1" x14ac:dyDescent="0.2">
      <c r="A686" t="s">
        <v>2848</v>
      </c>
    </row>
    <row r="687" spans="1:1" x14ac:dyDescent="0.2">
      <c r="A687" t="s">
        <v>2849</v>
      </c>
    </row>
    <row r="688" spans="1:1" x14ac:dyDescent="0.2">
      <c r="A688" t="s">
        <v>2850</v>
      </c>
    </row>
    <row r="689" spans="1:1" x14ac:dyDescent="0.2">
      <c r="A689" t="s">
        <v>2851</v>
      </c>
    </row>
    <row r="690" spans="1:1" x14ac:dyDescent="0.2">
      <c r="A690" t="s">
        <v>2852</v>
      </c>
    </row>
    <row r="691" spans="1:1" x14ac:dyDescent="0.2">
      <c r="A691" t="s">
        <v>2853</v>
      </c>
    </row>
    <row r="692" spans="1:1" x14ac:dyDescent="0.2">
      <c r="A692" t="s">
        <v>2854</v>
      </c>
    </row>
    <row r="693" spans="1:1" x14ac:dyDescent="0.2">
      <c r="A693" t="s">
        <v>2855</v>
      </c>
    </row>
    <row r="694" spans="1:1" x14ac:dyDescent="0.2">
      <c r="A694" t="s">
        <v>2856</v>
      </c>
    </row>
    <row r="695" spans="1:1" x14ac:dyDescent="0.2">
      <c r="A695" t="s">
        <v>2857</v>
      </c>
    </row>
    <row r="696" spans="1:1" x14ac:dyDescent="0.2">
      <c r="A696" t="s">
        <v>2858</v>
      </c>
    </row>
    <row r="697" spans="1:1" x14ac:dyDescent="0.2">
      <c r="A697" t="s">
        <v>2859</v>
      </c>
    </row>
    <row r="698" spans="1:1" x14ac:dyDescent="0.2">
      <c r="A698" t="s">
        <v>2860</v>
      </c>
    </row>
    <row r="699" spans="1:1" x14ac:dyDescent="0.2">
      <c r="A699" t="s">
        <v>2861</v>
      </c>
    </row>
    <row r="700" spans="1:1" x14ac:dyDescent="0.2">
      <c r="A700" t="s">
        <v>2862</v>
      </c>
    </row>
    <row r="701" spans="1:1" x14ac:dyDescent="0.2">
      <c r="A701" t="s">
        <v>2863</v>
      </c>
    </row>
    <row r="702" spans="1:1" x14ac:dyDescent="0.2">
      <c r="A702" t="s">
        <v>2864</v>
      </c>
    </row>
    <row r="703" spans="1:1" x14ac:dyDescent="0.2">
      <c r="A703" t="s">
        <v>2865</v>
      </c>
    </row>
    <row r="704" spans="1:1" x14ac:dyDescent="0.2">
      <c r="A704" t="s">
        <v>2866</v>
      </c>
    </row>
    <row r="705" spans="1:1" x14ac:dyDescent="0.2">
      <c r="A705" t="s">
        <v>2867</v>
      </c>
    </row>
    <row r="706" spans="1:1" x14ac:dyDescent="0.2">
      <c r="A706" t="s">
        <v>2868</v>
      </c>
    </row>
    <row r="707" spans="1:1" x14ac:dyDescent="0.2">
      <c r="A707" t="s">
        <v>2869</v>
      </c>
    </row>
    <row r="708" spans="1:1" x14ac:dyDescent="0.2">
      <c r="A708" t="s">
        <v>2870</v>
      </c>
    </row>
    <row r="709" spans="1:1" x14ac:dyDescent="0.2">
      <c r="A709" t="s">
        <v>2871</v>
      </c>
    </row>
    <row r="710" spans="1:1" x14ac:dyDescent="0.2">
      <c r="A710" t="s">
        <v>2872</v>
      </c>
    </row>
    <row r="711" spans="1:1" x14ac:dyDescent="0.2">
      <c r="A711" t="s">
        <v>2873</v>
      </c>
    </row>
    <row r="712" spans="1:1" x14ac:dyDescent="0.2">
      <c r="A712" t="s">
        <v>2874</v>
      </c>
    </row>
    <row r="713" spans="1:1" x14ac:dyDescent="0.2">
      <c r="A713" t="s">
        <v>2875</v>
      </c>
    </row>
    <row r="714" spans="1:1" x14ac:dyDescent="0.2">
      <c r="A714" t="s">
        <v>2876</v>
      </c>
    </row>
    <row r="715" spans="1:1" x14ac:dyDescent="0.2">
      <c r="A715" t="s">
        <v>2877</v>
      </c>
    </row>
    <row r="716" spans="1:1" x14ac:dyDescent="0.2">
      <c r="A716" t="s">
        <v>2878</v>
      </c>
    </row>
    <row r="717" spans="1:1" x14ac:dyDescent="0.2">
      <c r="A717" t="s">
        <v>2879</v>
      </c>
    </row>
    <row r="718" spans="1:1" x14ac:dyDescent="0.2">
      <c r="A718" t="s">
        <v>2880</v>
      </c>
    </row>
    <row r="719" spans="1:1" x14ac:dyDescent="0.2">
      <c r="A719" t="s">
        <v>2881</v>
      </c>
    </row>
    <row r="720" spans="1:1" x14ac:dyDescent="0.2">
      <c r="A720" t="s">
        <v>2882</v>
      </c>
    </row>
    <row r="721" spans="1:1" x14ac:dyDescent="0.2">
      <c r="A721" t="s">
        <v>2883</v>
      </c>
    </row>
    <row r="722" spans="1:1" x14ac:dyDescent="0.2">
      <c r="A722" t="s">
        <v>2884</v>
      </c>
    </row>
    <row r="723" spans="1:1" x14ac:dyDescent="0.2">
      <c r="A723" t="s">
        <v>2885</v>
      </c>
    </row>
    <row r="724" spans="1:1" x14ac:dyDescent="0.2">
      <c r="A724" t="s">
        <v>2886</v>
      </c>
    </row>
    <row r="725" spans="1:1" x14ac:dyDescent="0.2">
      <c r="A725" t="s">
        <v>2887</v>
      </c>
    </row>
    <row r="726" spans="1:1" x14ac:dyDescent="0.2">
      <c r="A726" t="s">
        <v>2888</v>
      </c>
    </row>
    <row r="727" spans="1:1" x14ac:dyDescent="0.2">
      <c r="A727" t="s">
        <v>2889</v>
      </c>
    </row>
    <row r="728" spans="1:1" x14ac:dyDescent="0.2">
      <c r="A728" t="s">
        <v>2890</v>
      </c>
    </row>
    <row r="729" spans="1:1" x14ac:dyDescent="0.2">
      <c r="A729" t="s">
        <v>2891</v>
      </c>
    </row>
    <row r="730" spans="1:1" x14ac:dyDescent="0.2">
      <c r="A730" t="s">
        <v>2892</v>
      </c>
    </row>
    <row r="731" spans="1:1" x14ac:dyDescent="0.2">
      <c r="A731" t="s">
        <v>2893</v>
      </c>
    </row>
    <row r="732" spans="1:1" x14ac:dyDescent="0.2">
      <c r="A732" t="s">
        <v>2894</v>
      </c>
    </row>
    <row r="733" spans="1:1" x14ac:dyDescent="0.2">
      <c r="A733" t="s">
        <v>2895</v>
      </c>
    </row>
    <row r="734" spans="1:1" x14ac:dyDescent="0.2">
      <c r="A734" t="s">
        <v>2896</v>
      </c>
    </row>
    <row r="735" spans="1:1" x14ac:dyDescent="0.2">
      <c r="A735" t="s">
        <v>2897</v>
      </c>
    </row>
    <row r="736" spans="1:1" x14ac:dyDescent="0.2">
      <c r="A736" t="s">
        <v>2898</v>
      </c>
    </row>
    <row r="737" spans="1:1" x14ac:dyDescent="0.2">
      <c r="A737" t="s">
        <v>2899</v>
      </c>
    </row>
    <row r="738" spans="1:1" x14ac:dyDescent="0.2">
      <c r="A738" t="s">
        <v>2900</v>
      </c>
    </row>
    <row r="739" spans="1:1" x14ac:dyDescent="0.2">
      <c r="A739" t="s">
        <v>2901</v>
      </c>
    </row>
    <row r="740" spans="1:1" x14ac:dyDescent="0.2">
      <c r="A740" t="s">
        <v>2902</v>
      </c>
    </row>
    <row r="741" spans="1:1" x14ac:dyDescent="0.2">
      <c r="A741" t="s">
        <v>2903</v>
      </c>
    </row>
    <row r="742" spans="1:1" x14ac:dyDescent="0.2">
      <c r="A742" t="s">
        <v>2904</v>
      </c>
    </row>
    <row r="743" spans="1:1" x14ac:dyDescent="0.2">
      <c r="A743" t="s">
        <v>2905</v>
      </c>
    </row>
    <row r="744" spans="1:1" x14ac:dyDescent="0.2">
      <c r="A744" t="s">
        <v>2906</v>
      </c>
    </row>
    <row r="745" spans="1:1" x14ac:dyDescent="0.2">
      <c r="A745" t="s">
        <v>2907</v>
      </c>
    </row>
    <row r="746" spans="1:1" x14ac:dyDescent="0.2">
      <c r="A746" t="s">
        <v>2908</v>
      </c>
    </row>
    <row r="747" spans="1:1" x14ac:dyDescent="0.2">
      <c r="A747" t="s">
        <v>2909</v>
      </c>
    </row>
    <row r="748" spans="1:1" x14ac:dyDescent="0.2">
      <c r="A748" t="s">
        <v>2910</v>
      </c>
    </row>
    <row r="749" spans="1:1" x14ac:dyDescent="0.2">
      <c r="A749" t="s">
        <v>2911</v>
      </c>
    </row>
    <row r="750" spans="1:1" x14ac:dyDescent="0.2">
      <c r="A750" t="s">
        <v>2912</v>
      </c>
    </row>
    <row r="751" spans="1:1" x14ac:dyDescent="0.2">
      <c r="A751" t="s">
        <v>2913</v>
      </c>
    </row>
    <row r="752" spans="1:1" x14ac:dyDescent="0.2">
      <c r="A752" t="s">
        <v>2914</v>
      </c>
    </row>
    <row r="753" spans="1:1" x14ac:dyDescent="0.2">
      <c r="A753" t="s">
        <v>2915</v>
      </c>
    </row>
    <row r="754" spans="1:1" x14ac:dyDescent="0.2">
      <c r="A754" t="s">
        <v>2916</v>
      </c>
    </row>
    <row r="755" spans="1:1" x14ac:dyDescent="0.2">
      <c r="A755" t="s">
        <v>2917</v>
      </c>
    </row>
    <row r="756" spans="1:1" x14ac:dyDescent="0.2">
      <c r="A756" t="s">
        <v>2918</v>
      </c>
    </row>
    <row r="757" spans="1:1" x14ac:dyDescent="0.2">
      <c r="A757" t="s">
        <v>2919</v>
      </c>
    </row>
    <row r="758" spans="1:1" x14ac:dyDescent="0.2">
      <c r="A758" t="s">
        <v>2920</v>
      </c>
    </row>
    <row r="759" spans="1:1" x14ac:dyDescent="0.2">
      <c r="A759" t="s">
        <v>2921</v>
      </c>
    </row>
    <row r="760" spans="1:1" x14ac:dyDescent="0.2">
      <c r="A760" t="s">
        <v>2922</v>
      </c>
    </row>
    <row r="761" spans="1:1" x14ac:dyDescent="0.2">
      <c r="A761" t="s">
        <v>2923</v>
      </c>
    </row>
    <row r="762" spans="1:1" x14ac:dyDescent="0.2">
      <c r="A762" t="s">
        <v>2924</v>
      </c>
    </row>
    <row r="763" spans="1:1" x14ac:dyDescent="0.2">
      <c r="A763" t="s">
        <v>2925</v>
      </c>
    </row>
    <row r="764" spans="1:1" x14ac:dyDescent="0.2">
      <c r="A764" t="s">
        <v>2926</v>
      </c>
    </row>
    <row r="765" spans="1:1" x14ac:dyDescent="0.2">
      <c r="A765" t="s">
        <v>2927</v>
      </c>
    </row>
    <row r="766" spans="1:1" x14ac:dyDescent="0.2">
      <c r="A766" t="s">
        <v>2928</v>
      </c>
    </row>
    <row r="767" spans="1:1" x14ac:dyDescent="0.2">
      <c r="A767" t="s">
        <v>2929</v>
      </c>
    </row>
    <row r="768" spans="1:1" x14ac:dyDescent="0.2">
      <c r="A768" t="s">
        <v>2930</v>
      </c>
    </row>
    <row r="769" spans="1:1" x14ac:dyDescent="0.2">
      <c r="A769" t="s">
        <v>2931</v>
      </c>
    </row>
    <row r="770" spans="1:1" x14ac:dyDescent="0.2">
      <c r="A770" t="s">
        <v>2932</v>
      </c>
    </row>
    <row r="771" spans="1:1" x14ac:dyDescent="0.2">
      <c r="A771" t="s">
        <v>2933</v>
      </c>
    </row>
    <row r="772" spans="1:1" x14ac:dyDescent="0.2">
      <c r="A772" t="s">
        <v>2934</v>
      </c>
    </row>
    <row r="773" spans="1:1" x14ac:dyDescent="0.2">
      <c r="A773" t="s">
        <v>2935</v>
      </c>
    </row>
    <row r="774" spans="1:1" x14ac:dyDescent="0.2">
      <c r="A774" t="s">
        <v>2936</v>
      </c>
    </row>
    <row r="775" spans="1:1" x14ac:dyDescent="0.2">
      <c r="A775" t="s">
        <v>2937</v>
      </c>
    </row>
    <row r="776" spans="1:1" x14ac:dyDescent="0.2">
      <c r="A776" t="s">
        <v>2938</v>
      </c>
    </row>
    <row r="777" spans="1:1" x14ac:dyDescent="0.2">
      <c r="A777" t="s">
        <v>2939</v>
      </c>
    </row>
    <row r="778" spans="1:1" x14ac:dyDescent="0.2">
      <c r="A778" t="s">
        <v>2940</v>
      </c>
    </row>
    <row r="779" spans="1:1" x14ac:dyDescent="0.2">
      <c r="A779" t="s">
        <v>2941</v>
      </c>
    </row>
    <row r="780" spans="1:1" x14ac:dyDescent="0.2">
      <c r="A780" t="s">
        <v>2942</v>
      </c>
    </row>
    <row r="781" spans="1:1" x14ac:dyDescent="0.2">
      <c r="A781" t="s">
        <v>2943</v>
      </c>
    </row>
    <row r="782" spans="1:1" x14ac:dyDescent="0.2">
      <c r="A782" t="s">
        <v>2944</v>
      </c>
    </row>
    <row r="783" spans="1:1" x14ac:dyDescent="0.2">
      <c r="A783" t="s">
        <v>2945</v>
      </c>
    </row>
    <row r="784" spans="1:1" x14ac:dyDescent="0.2">
      <c r="A784" t="s">
        <v>2946</v>
      </c>
    </row>
    <row r="785" spans="1:1" x14ac:dyDescent="0.2">
      <c r="A785" t="s">
        <v>2947</v>
      </c>
    </row>
    <row r="786" spans="1:1" x14ac:dyDescent="0.2">
      <c r="A786" t="s">
        <v>2948</v>
      </c>
    </row>
    <row r="787" spans="1:1" x14ac:dyDescent="0.2">
      <c r="A787" t="s">
        <v>2949</v>
      </c>
    </row>
    <row r="788" spans="1:1" x14ac:dyDescent="0.2">
      <c r="A788" t="s">
        <v>2950</v>
      </c>
    </row>
    <row r="789" spans="1:1" x14ac:dyDescent="0.2">
      <c r="A789" t="s">
        <v>2951</v>
      </c>
    </row>
    <row r="790" spans="1:1" x14ac:dyDescent="0.2">
      <c r="A790" t="s">
        <v>2952</v>
      </c>
    </row>
    <row r="791" spans="1:1" x14ac:dyDescent="0.2">
      <c r="A791" t="s">
        <v>2953</v>
      </c>
    </row>
    <row r="792" spans="1:1" x14ac:dyDescent="0.2">
      <c r="A792" t="s">
        <v>2954</v>
      </c>
    </row>
    <row r="793" spans="1:1" x14ac:dyDescent="0.2">
      <c r="A793" t="s">
        <v>2955</v>
      </c>
    </row>
    <row r="794" spans="1:1" x14ac:dyDescent="0.2">
      <c r="A794" t="s">
        <v>2956</v>
      </c>
    </row>
    <row r="795" spans="1:1" x14ac:dyDescent="0.2">
      <c r="A795" t="s">
        <v>2957</v>
      </c>
    </row>
    <row r="796" spans="1:1" x14ac:dyDescent="0.2">
      <c r="A796" t="s">
        <v>2958</v>
      </c>
    </row>
    <row r="797" spans="1:1" x14ac:dyDescent="0.2">
      <c r="A797" t="s">
        <v>2959</v>
      </c>
    </row>
    <row r="798" spans="1:1" x14ac:dyDescent="0.2">
      <c r="A798" t="s">
        <v>2960</v>
      </c>
    </row>
    <row r="799" spans="1:1" x14ac:dyDescent="0.2">
      <c r="A799" t="s">
        <v>2961</v>
      </c>
    </row>
    <row r="800" spans="1:1" x14ac:dyDescent="0.2">
      <c r="A800" t="s">
        <v>2962</v>
      </c>
    </row>
    <row r="801" spans="1:1" x14ac:dyDescent="0.2">
      <c r="A801" t="s">
        <v>2963</v>
      </c>
    </row>
    <row r="802" spans="1:1" x14ac:dyDescent="0.2">
      <c r="A802" t="s">
        <v>2964</v>
      </c>
    </row>
    <row r="803" spans="1:1" x14ac:dyDescent="0.2">
      <c r="A803" t="s">
        <v>2965</v>
      </c>
    </row>
    <row r="804" spans="1:1" x14ac:dyDescent="0.2">
      <c r="A804" t="s">
        <v>2966</v>
      </c>
    </row>
    <row r="805" spans="1:1" x14ac:dyDescent="0.2">
      <c r="A805" t="s">
        <v>2967</v>
      </c>
    </row>
    <row r="806" spans="1:1" x14ac:dyDescent="0.2">
      <c r="A806" t="s">
        <v>2968</v>
      </c>
    </row>
    <row r="807" spans="1:1" x14ac:dyDescent="0.2">
      <c r="A807" t="s">
        <v>2969</v>
      </c>
    </row>
    <row r="808" spans="1:1" x14ac:dyDescent="0.2">
      <c r="A808" t="s">
        <v>2970</v>
      </c>
    </row>
    <row r="809" spans="1:1" x14ac:dyDescent="0.2">
      <c r="A809" t="s">
        <v>2971</v>
      </c>
    </row>
    <row r="810" spans="1:1" x14ac:dyDescent="0.2">
      <c r="A810" t="s">
        <v>2972</v>
      </c>
    </row>
    <row r="811" spans="1:1" x14ac:dyDescent="0.2">
      <c r="A811" t="s">
        <v>2973</v>
      </c>
    </row>
    <row r="812" spans="1:1" x14ac:dyDescent="0.2">
      <c r="A812" t="s">
        <v>2974</v>
      </c>
    </row>
    <row r="813" spans="1:1" x14ac:dyDescent="0.2">
      <c r="A813" t="s">
        <v>2975</v>
      </c>
    </row>
    <row r="814" spans="1:1" x14ac:dyDescent="0.2">
      <c r="A814" t="s">
        <v>2976</v>
      </c>
    </row>
    <row r="815" spans="1:1" x14ac:dyDescent="0.2">
      <c r="A815" t="s">
        <v>2977</v>
      </c>
    </row>
    <row r="816" spans="1:1" x14ac:dyDescent="0.2">
      <c r="A816" t="s">
        <v>2978</v>
      </c>
    </row>
    <row r="817" spans="1:1" x14ac:dyDescent="0.2">
      <c r="A817" t="s">
        <v>2979</v>
      </c>
    </row>
    <row r="818" spans="1:1" x14ac:dyDescent="0.2">
      <c r="A818" t="s">
        <v>2980</v>
      </c>
    </row>
    <row r="819" spans="1:1" x14ac:dyDescent="0.2">
      <c r="A819" t="s">
        <v>2981</v>
      </c>
    </row>
    <row r="820" spans="1:1" x14ac:dyDescent="0.2">
      <c r="A820" t="s">
        <v>2982</v>
      </c>
    </row>
    <row r="821" spans="1:1" x14ac:dyDescent="0.2">
      <c r="A821" t="s">
        <v>2983</v>
      </c>
    </row>
    <row r="822" spans="1:1" x14ac:dyDescent="0.2">
      <c r="A822" t="s">
        <v>2984</v>
      </c>
    </row>
    <row r="823" spans="1:1" x14ac:dyDescent="0.2">
      <c r="A823" t="s">
        <v>2985</v>
      </c>
    </row>
    <row r="824" spans="1:1" x14ac:dyDescent="0.2">
      <c r="A824" t="s">
        <v>2986</v>
      </c>
    </row>
    <row r="825" spans="1:1" x14ac:dyDescent="0.2">
      <c r="A825" t="s">
        <v>2987</v>
      </c>
    </row>
    <row r="826" spans="1:1" x14ac:dyDescent="0.2">
      <c r="A826" t="s">
        <v>2988</v>
      </c>
    </row>
    <row r="827" spans="1:1" x14ac:dyDescent="0.2">
      <c r="A827" t="s">
        <v>2989</v>
      </c>
    </row>
    <row r="828" spans="1:1" x14ac:dyDescent="0.2">
      <c r="A828" t="s">
        <v>2990</v>
      </c>
    </row>
    <row r="829" spans="1:1" x14ac:dyDescent="0.2">
      <c r="A829" t="s">
        <v>2991</v>
      </c>
    </row>
    <row r="830" spans="1:1" x14ac:dyDescent="0.2">
      <c r="A830" t="s">
        <v>2992</v>
      </c>
    </row>
    <row r="831" spans="1:1" x14ac:dyDescent="0.2">
      <c r="A831" t="s">
        <v>2993</v>
      </c>
    </row>
    <row r="832" spans="1:1" x14ac:dyDescent="0.2">
      <c r="A832" t="s">
        <v>2994</v>
      </c>
    </row>
    <row r="833" spans="1:1" x14ac:dyDescent="0.2">
      <c r="A833" t="s">
        <v>2995</v>
      </c>
    </row>
    <row r="834" spans="1:1" x14ac:dyDescent="0.2">
      <c r="A834" t="s">
        <v>2996</v>
      </c>
    </row>
    <row r="835" spans="1:1" x14ac:dyDescent="0.2">
      <c r="A835" t="s">
        <v>2997</v>
      </c>
    </row>
    <row r="836" spans="1:1" x14ac:dyDescent="0.2">
      <c r="A836" t="s">
        <v>2998</v>
      </c>
    </row>
    <row r="837" spans="1:1" x14ac:dyDescent="0.2">
      <c r="A837" t="s">
        <v>2999</v>
      </c>
    </row>
    <row r="838" spans="1:1" x14ac:dyDescent="0.2">
      <c r="A838" t="s">
        <v>3000</v>
      </c>
    </row>
    <row r="839" spans="1:1" x14ac:dyDescent="0.2">
      <c r="A839" t="s">
        <v>3001</v>
      </c>
    </row>
    <row r="840" spans="1:1" x14ac:dyDescent="0.2">
      <c r="A840" t="s">
        <v>3002</v>
      </c>
    </row>
    <row r="841" spans="1:1" x14ac:dyDescent="0.2">
      <c r="A841" t="s">
        <v>3003</v>
      </c>
    </row>
    <row r="842" spans="1:1" x14ac:dyDescent="0.2">
      <c r="A842" t="s">
        <v>3004</v>
      </c>
    </row>
    <row r="843" spans="1:1" x14ac:dyDescent="0.2">
      <c r="A843" t="s">
        <v>3005</v>
      </c>
    </row>
    <row r="844" spans="1:1" x14ac:dyDescent="0.2">
      <c r="A844" t="s">
        <v>3006</v>
      </c>
    </row>
    <row r="845" spans="1:1" x14ac:dyDescent="0.2">
      <c r="A845" t="s">
        <v>3007</v>
      </c>
    </row>
    <row r="846" spans="1:1" x14ac:dyDescent="0.2">
      <c r="A846" t="s">
        <v>3008</v>
      </c>
    </row>
    <row r="847" spans="1:1" x14ac:dyDescent="0.2">
      <c r="A847" t="s">
        <v>3009</v>
      </c>
    </row>
    <row r="848" spans="1:1" x14ac:dyDescent="0.2">
      <c r="A848" t="s">
        <v>3010</v>
      </c>
    </row>
    <row r="849" spans="1:1" x14ac:dyDescent="0.2">
      <c r="A849" t="s">
        <v>3011</v>
      </c>
    </row>
    <row r="850" spans="1:1" x14ac:dyDescent="0.2">
      <c r="A850" t="s">
        <v>3012</v>
      </c>
    </row>
    <row r="851" spans="1:1" x14ac:dyDescent="0.2">
      <c r="A851" t="s">
        <v>3013</v>
      </c>
    </row>
    <row r="852" spans="1:1" x14ac:dyDescent="0.2">
      <c r="A852" t="s">
        <v>3014</v>
      </c>
    </row>
    <row r="853" spans="1:1" x14ac:dyDescent="0.2">
      <c r="A853" t="s">
        <v>3015</v>
      </c>
    </row>
    <row r="854" spans="1:1" x14ac:dyDescent="0.2">
      <c r="A854" t="s">
        <v>3016</v>
      </c>
    </row>
    <row r="855" spans="1:1" x14ac:dyDescent="0.2">
      <c r="A855" t="s">
        <v>3017</v>
      </c>
    </row>
    <row r="856" spans="1:1" x14ac:dyDescent="0.2">
      <c r="A856" t="s">
        <v>3018</v>
      </c>
    </row>
    <row r="857" spans="1:1" x14ac:dyDescent="0.2">
      <c r="A857" t="s">
        <v>3019</v>
      </c>
    </row>
    <row r="858" spans="1:1" x14ac:dyDescent="0.2">
      <c r="A858" t="s">
        <v>3020</v>
      </c>
    </row>
    <row r="859" spans="1:1" x14ac:dyDescent="0.2">
      <c r="A859" t="s">
        <v>3021</v>
      </c>
    </row>
    <row r="860" spans="1:1" x14ac:dyDescent="0.2">
      <c r="A860" t="s">
        <v>3022</v>
      </c>
    </row>
    <row r="861" spans="1:1" x14ac:dyDescent="0.2">
      <c r="A861" t="s">
        <v>3023</v>
      </c>
    </row>
    <row r="862" spans="1:1" x14ac:dyDescent="0.2">
      <c r="A862" t="s">
        <v>3024</v>
      </c>
    </row>
    <row r="863" spans="1:1" x14ac:dyDescent="0.2">
      <c r="A863" t="s">
        <v>3025</v>
      </c>
    </row>
    <row r="864" spans="1:1" x14ac:dyDescent="0.2">
      <c r="A864" t="s">
        <v>3026</v>
      </c>
    </row>
    <row r="865" spans="1:1" x14ac:dyDescent="0.2">
      <c r="A865" t="s">
        <v>3027</v>
      </c>
    </row>
    <row r="866" spans="1:1" x14ac:dyDescent="0.2">
      <c r="A866" t="s">
        <v>3028</v>
      </c>
    </row>
    <row r="867" spans="1:1" x14ac:dyDescent="0.2">
      <c r="A867" t="s">
        <v>3029</v>
      </c>
    </row>
    <row r="868" spans="1:1" x14ac:dyDescent="0.2">
      <c r="A868" t="s">
        <v>3030</v>
      </c>
    </row>
    <row r="869" spans="1:1" x14ac:dyDescent="0.2">
      <c r="A869" t="s">
        <v>3031</v>
      </c>
    </row>
    <row r="870" spans="1:1" x14ac:dyDescent="0.2">
      <c r="A870" t="s">
        <v>3032</v>
      </c>
    </row>
    <row r="871" spans="1:1" x14ac:dyDescent="0.2">
      <c r="A871" t="s">
        <v>3033</v>
      </c>
    </row>
    <row r="872" spans="1:1" x14ac:dyDescent="0.2">
      <c r="A872" t="s">
        <v>3034</v>
      </c>
    </row>
    <row r="873" spans="1:1" x14ac:dyDescent="0.2">
      <c r="A873" t="s">
        <v>3035</v>
      </c>
    </row>
    <row r="874" spans="1:1" x14ac:dyDescent="0.2">
      <c r="A874" t="s">
        <v>3036</v>
      </c>
    </row>
    <row r="875" spans="1:1" x14ac:dyDescent="0.2">
      <c r="A875" t="s">
        <v>3037</v>
      </c>
    </row>
    <row r="876" spans="1:1" x14ac:dyDescent="0.2">
      <c r="A876" t="s">
        <v>3038</v>
      </c>
    </row>
    <row r="877" spans="1:1" x14ac:dyDescent="0.2">
      <c r="A877" t="s">
        <v>3039</v>
      </c>
    </row>
    <row r="878" spans="1:1" x14ac:dyDescent="0.2">
      <c r="A878" t="s">
        <v>3040</v>
      </c>
    </row>
    <row r="879" spans="1:1" x14ac:dyDescent="0.2">
      <c r="A879" t="s">
        <v>3041</v>
      </c>
    </row>
    <row r="880" spans="1:1" x14ac:dyDescent="0.2">
      <c r="A880" t="s">
        <v>3042</v>
      </c>
    </row>
    <row r="881" spans="1:1" x14ac:dyDescent="0.2">
      <c r="A881" t="s">
        <v>3043</v>
      </c>
    </row>
    <row r="882" spans="1:1" x14ac:dyDescent="0.2">
      <c r="A882" t="s">
        <v>3044</v>
      </c>
    </row>
    <row r="883" spans="1:1" x14ac:dyDescent="0.2">
      <c r="A883" t="s">
        <v>3045</v>
      </c>
    </row>
    <row r="884" spans="1:1" x14ac:dyDescent="0.2">
      <c r="A884" t="s">
        <v>3046</v>
      </c>
    </row>
    <row r="885" spans="1:1" x14ac:dyDescent="0.2">
      <c r="A885" t="s">
        <v>3047</v>
      </c>
    </row>
    <row r="886" spans="1:1" x14ac:dyDescent="0.2">
      <c r="A886" t="s">
        <v>3048</v>
      </c>
    </row>
    <row r="887" spans="1:1" x14ac:dyDescent="0.2">
      <c r="A887" t="s">
        <v>3049</v>
      </c>
    </row>
    <row r="888" spans="1:1" x14ac:dyDescent="0.2">
      <c r="A888" t="s">
        <v>3050</v>
      </c>
    </row>
    <row r="889" spans="1:1" x14ac:dyDescent="0.2">
      <c r="A889" t="s">
        <v>3051</v>
      </c>
    </row>
    <row r="890" spans="1:1" x14ac:dyDescent="0.2">
      <c r="A890" t="s">
        <v>3052</v>
      </c>
    </row>
    <row r="891" spans="1:1" x14ac:dyDescent="0.2">
      <c r="A891" t="s">
        <v>3053</v>
      </c>
    </row>
    <row r="892" spans="1:1" x14ac:dyDescent="0.2">
      <c r="A892" t="s">
        <v>3054</v>
      </c>
    </row>
    <row r="893" spans="1:1" x14ac:dyDescent="0.2">
      <c r="A893" t="s">
        <v>3055</v>
      </c>
    </row>
    <row r="894" spans="1:1" x14ac:dyDescent="0.2">
      <c r="A894" t="s">
        <v>3056</v>
      </c>
    </row>
    <row r="895" spans="1:1" x14ac:dyDescent="0.2">
      <c r="A895" t="s">
        <v>3057</v>
      </c>
    </row>
    <row r="896" spans="1:1" x14ac:dyDescent="0.2">
      <c r="A896" t="s">
        <v>3058</v>
      </c>
    </row>
    <row r="897" spans="1:1" x14ac:dyDescent="0.2">
      <c r="A897" t="s">
        <v>3059</v>
      </c>
    </row>
    <row r="898" spans="1:1" x14ac:dyDescent="0.2">
      <c r="A898" t="s">
        <v>3060</v>
      </c>
    </row>
    <row r="899" spans="1:1" x14ac:dyDescent="0.2">
      <c r="A899" t="s">
        <v>3061</v>
      </c>
    </row>
    <row r="900" spans="1:1" x14ac:dyDescent="0.2">
      <c r="A900" t="s">
        <v>3062</v>
      </c>
    </row>
    <row r="901" spans="1:1" x14ac:dyDescent="0.2">
      <c r="A901" t="s">
        <v>3063</v>
      </c>
    </row>
    <row r="902" spans="1:1" x14ac:dyDescent="0.2">
      <c r="A902" t="s">
        <v>3064</v>
      </c>
    </row>
    <row r="903" spans="1:1" x14ac:dyDescent="0.2">
      <c r="A903" t="s">
        <v>3065</v>
      </c>
    </row>
    <row r="904" spans="1:1" x14ac:dyDescent="0.2">
      <c r="A904" t="s">
        <v>3066</v>
      </c>
    </row>
    <row r="905" spans="1:1" x14ac:dyDescent="0.2">
      <c r="A905" t="s">
        <v>3067</v>
      </c>
    </row>
    <row r="906" spans="1:1" x14ac:dyDescent="0.2">
      <c r="A906" t="s">
        <v>3068</v>
      </c>
    </row>
    <row r="907" spans="1:1" x14ac:dyDescent="0.2">
      <c r="A907" t="s">
        <v>3069</v>
      </c>
    </row>
    <row r="908" spans="1:1" x14ac:dyDescent="0.2">
      <c r="A908" t="s">
        <v>3070</v>
      </c>
    </row>
    <row r="909" spans="1:1" x14ac:dyDescent="0.2">
      <c r="A909" t="s">
        <v>3071</v>
      </c>
    </row>
    <row r="910" spans="1:1" x14ac:dyDescent="0.2">
      <c r="A910" t="s">
        <v>3072</v>
      </c>
    </row>
    <row r="911" spans="1:1" x14ac:dyDescent="0.2">
      <c r="A911" t="s">
        <v>3073</v>
      </c>
    </row>
    <row r="912" spans="1:1" x14ac:dyDescent="0.2">
      <c r="A912" t="s">
        <v>3074</v>
      </c>
    </row>
    <row r="913" spans="1:1" x14ac:dyDescent="0.2">
      <c r="A913" t="s">
        <v>3075</v>
      </c>
    </row>
    <row r="914" spans="1:1" x14ac:dyDescent="0.2">
      <c r="A914" t="s">
        <v>3076</v>
      </c>
    </row>
    <row r="915" spans="1:1" x14ac:dyDescent="0.2">
      <c r="A915" t="s">
        <v>3077</v>
      </c>
    </row>
    <row r="916" spans="1:1" x14ac:dyDescent="0.2">
      <c r="A916" t="s">
        <v>3078</v>
      </c>
    </row>
    <row r="917" spans="1:1" x14ac:dyDescent="0.2">
      <c r="A917" t="s">
        <v>3079</v>
      </c>
    </row>
    <row r="918" spans="1:1" x14ac:dyDescent="0.2">
      <c r="A918" t="s">
        <v>3080</v>
      </c>
    </row>
    <row r="919" spans="1:1" x14ac:dyDescent="0.2">
      <c r="A919" t="s">
        <v>3081</v>
      </c>
    </row>
    <row r="920" spans="1:1" x14ac:dyDescent="0.2">
      <c r="A920" t="s">
        <v>3082</v>
      </c>
    </row>
    <row r="921" spans="1:1" x14ac:dyDescent="0.2">
      <c r="A921" t="s">
        <v>3083</v>
      </c>
    </row>
    <row r="922" spans="1:1" x14ac:dyDescent="0.2">
      <c r="A922" t="s">
        <v>3084</v>
      </c>
    </row>
    <row r="923" spans="1:1" x14ac:dyDescent="0.2">
      <c r="A923" t="s">
        <v>3085</v>
      </c>
    </row>
    <row r="924" spans="1:1" x14ac:dyDescent="0.2">
      <c r="A924" t="s">
        <v>3086</v>
      </c>
    </row>
    <row r="925" spans="1:1" x14ac:dyDescent="0.2">
      <c r="A925" t="s">
        <v>3087</v>
      </c>
    </row>
    <row r="926" spans="1:1" x14ac:dyDescent="0.2">
      <c r="A926" t="s">
        <v>3088</v>
      </c>
    </row>
    <row r="927" spans="1:1" x14ac:dyDescent="0.2">
      <c r="A927" t="s">
        <v>3089</v>
      </c>
    </row>
    <row r="928" spans="1:1" x14ac:dyDescent="0.2">
      <c r="A928" t="s">
        <v>3090</v>
      </c>
    </row>
    <row r="929" spans="1:1" x14ac:dyDescent="0.2">
      <c r="A929" t="s">
        <v>3091</v>
      </c>
    </row>
    <row r="930" spans="1:1" x14ac:dyDescent="0.2">
      <c r="A930" t="s">
        <v>3092</v>
      </c>
    </row>
    <row r="931" spans="1:1" x14ac:dyDescent="0.2">
      <c r="A931" t="s">
        <v>3093</v>
      </c>
    </row>
    <row r="932" spans="1:1" x14ac:dyDescent="0.2">
      <c r="A932" t="s">
        <v>3094</v>
      </c>
    </row>
    <row r="933" spans="1:1" x14ac:dyDescent="0.2">
      <c r="A933" t="s">
        <v>3095</v>
      </c>
    </row>
    <row r="934" spans="1:1" x14ac:dyDescent="0.2">
      <c r="A934" t="s">
        <v>3096</v>
      </c>
    </row>
    <row r="935" spans="1:1" x14ac:dyDescent="0.2">
      <c r="A935" t="s">
        <v>3097</v>
      </c>
    </row>
    <row r="936" spans="1:1" x14ac:dyDescent="0.2">
      <c r="A936" t="s">
        <v>3098</v>
      </c>
    </row>
    <row r="937" spans="1:1" x14ac:dyDescent="0.2">
      <c r="A937" t="s">
        <v>3099</v>
      </c>
    </row>
    <row r="938" spans="1:1" x14ac:dyDescent="0.2">
      <c r="A938" t="s">
        <v>3100</v>
      </c>
    </row>
    <row r="939" spans="1:1" x14ac:dyDescent="0.2">
      <c r="A939" t="s">
        <v>3101</v>
      </c>
    </row>
    <row r="940" spans="1:1" x14ac:dyDescent="0.2">
      <c r="A940" t="s">
        <v>3102</v>
      </c>
    </row>
    <row r="941" spans="1:1" x14ac:dyDescent="0.2">
      <c r="A941" t="s">
        <v>3103</v>
      </c>
    </row>
    <row r="942" spans="1:1" x14ac:dyDescent="0.2">
      <c r="A942" t="s">
        <v>3104</v>
      </c>
    </row>
    <row r="943" spans="1:1" x14ac:dyDescent="0.2">
      <c r="A943" t="s">
        <v>3105</v>
      </c>
    </row>
    <row r="944" spans="1:1" x14ac:dyDescent="0.2">
      <c r="A944" t="s">
        <v>3106</v>
      </c>
    </row>
    <row r="945" spans="1:1" x14ac:dyDescent="0.2">
      <c r="A945" t="s">
        <v>3107</v>
      </c>
    </row>
    <row r="946" spans="1:1" x14ac:dyDescent="0.2">
      <c r="A946" t="s">
        <v>3108</v>
      </c>
    </row>
    <row r="947" spans="1:1" x14ac:dyDescent="0.2">
      <c r="A947" t="s">
        <v>3109</v>
      </c>
    </row>
    <row r="948" spans="1:1" x14ac:dyDescent="0.2">
      <c r="A948" t="s">
        <v>3110</v>
      </c>
    </row>
    <row r="949" spans="1:1" x14ac:dyDescent="0.2">
      <c r="A949" t="s">
        <v>3111</v>
      </c>
    </row>
    <row r="950" spans="1:1" x14ac:dyDescent="0.2">
      <c r="A950" t="s">
        <v>3112</v>
      </c>
    </row>
    <row r="951" spans="1:1" x14ac:dyDescent="0.2">
      <c r="A951" t="s">
        <v>3113</v>
      </c>
    </row>
    <row r="952" spans="1:1" x14ac:dyDescent="0.2">
      <c r="A952" t="s">
        <v>3114</v>
      </c>
    </row>
    <row r="953" spans="1:1" x14ac:dyDescent="0.2">
      <c r="A953" t="s">
        <v>3115</v>
      </c>
    </row>
    <row r="954" spans="1:1" x14ac:dyDescent="0.2">
      <c r="A954" t="s">
        <v>3116</v>
      </c>
    </row>
    <row r="955" spans="1:1" x14ac:dyDescent="0.2">
      <c r="A955" t="s">
        <v>3117</v>
      </c>
    </row>
    <row r="956" spans="1:1" x14ac:dyDescent="0.2">
      <c r="A956" t="s">
        <v>3118</v>
      </c>
    </row>
    <row r="957" spans="1:1" x14ac:dyDescent="0.2">
      <c r="A957" t="s">
        <v>3119</v>
      </c>
    </row>
    <row r="958" spans="1:1" x14ac:dyDescent="0.2">
      <c r="A958" t="s">
        <v>3120</v>
      </c>
    </row>
    <row r="959" spans="1:1" x14ac:dyDescent="0.2">
      <c r="A959" t="s">
        <v>3121</v>
      </c>
    </row>
    <row r="960" spans="1:1" x14ac:dyDescent="0.2">
      <c r="A960" t="s">
        <v>3122</v>
      </c>
    </row>
    <row r="961" spans="1:1" x14ac:dyDescent="0.2">
      <c r="A961" t="s">
        <v>3123</v>
      </c>
    </row>
    <row r="962" spans="1:1" x14ac:dyDescent="0.2">
      <c r="A962" t="s">
        <v>3124</v>
      </c>
    </row>
    <row r="963" spans="1:1" x14ac:dyDescent="0.2">
      <c r="A963" t="s">
        <v>3125</v>
      </c>
    </row>
    <row r="964" spans="1:1" x14ac:dyDescent="0.2">
      <c r="A964" t="s">
        <v>3126</v>
      </c>
    </row>
    <row r="965" spans="1:1" x14ac:dyDescent="0.2">
      <c r="A965" t="s">
        <v>3127</v>
      </c>
    </row>
    <row r="966" spans="1:1" x14ac:dyDescent="0.2">
      <c r="A966" t="s">
        <v>3128</v>
      </c>
    </row>
    <row r="967" spans="1:1" x14ac:dyDescent="0.2">
      <c r="A967" t="s">
        <v>3129</v>
      </c>
    </row>
    <row r="968" spans="1:1" x14ac:dyDescent="0.2">
      <c r="A968" t="s">
        <v>3130</v>
      </c>
    </row>
    <row r="969" spans="1:1" x14ac:dyDescent="0.2">
      <c r="A969" t="s">
        <v>3131</v>
      </c>
    </row>
    <row r="970" spans="1:1" x14ac:dyDescent="0.2">
      <c r="A970" t="s">
        <v>3132</v>
      </c>
    </row>
    <row r="971" spans="1:1" x14ac:dyDescent="0.2">
      <c r="A971" t="s">
        <v>3133</v>
      </c>
    </row>
    <row r="972" spans="1:1" x14ac:dyDescent="0.2">
      <c r="A972" t="s">
        <v>3134</v>
      </c>
    </row>
    <row r="973" spans="1:1" x14ac:dyDescent="0.2">
      <c r="A973" t="s">
        <v>3135</v>
      </c>
    </row>
    <row r="974" spans="1:1" x14ac:dyDescent="0.2">
      <c r="A974" t="s">
        <v>3136</v>
      </c>
    </row>
    <row r="975" spans="1:1" x14ac:dyDescent="0.2">
      <c r="A975" t="s">
        <v>3137</v>
      </c>
    </row>
    <row r="976" spans="1:1" x14ac:dyDescent="0.2">
      <c r="A976" t="s">
        <v>3138</v>
      </c>
    </row>
    <row r="977" spans="1:1" x14ac:dyDescent="0.2">
      <c r="A977" t="s">
        <v>3139</v>
      </c>
    </row>
    <row r="978" spans="1:1" x14ac:dyDescent="0.2">
      <c r="A978" t="s">
        <v>3140</v>
      </c>
    </row>
    <row r="979" spans="1:1" x14ac:dyDescent="0.2">
      <c r="A979" t="s">
        <v>3141</v>
      </c>
    </row>
    <row r="980" spans="1:1" x14ac:dyDescent="0.2">
      <c r="A980" t="s">
        <v>3142</v>
      </c>
    </row>
    <row r="981" spans="1:1" x14ac:dyDescent="0.2">
      <c r="A981" t="s">
        <v>3143</v>
      </c>
    </row>
    <row r="982" spans="1:1" x14ac:dyDescent="0.2">
      <c r="A982" t="s">
        <v>3144</v>
      </c>
    </row>
    <row r="983" spans="1:1" x14ac:dyDescent="0.2">
      <c r="A983" t="s">
        <v>3145</v>
      </c>
    </row>
    <row r="984" spans="1:1" x14ac:dyDescent="0.2">
      <c r="A984" t="s">
        <v>3146</v>
      </c>
    </row>
    <row r="985" spans="1:1" x14ac:dyDescent="0.2">
      <c r="A985" t="s">
        <v>3147</v>
      </c>
    </row>
    <row r="986" spans="1:1" x14ac:dyDescent="0.2">
      <c r="A986" t="s">
        <v>3148</v>
      </c>
    </row>
    <row r="987" spans="1:1" x14ac:dyDescent="0.2">
      <c r="A987" t="s">
        <v>3149</v>
      </c>
    </row>
    <row r="988" spans="1:1" x14ac:dyDescent="0.2">
      <c r="A988" t="s">
        <v>3150</v>
      </c>
    </row>
    <row r="989" spans="1:1" x14ac:dyDescent="0.2">
      <c r="A989" t="s">
        <v>3151</v>
      </c>
    </row>
    <row r="990" spans="1:1" x14ac:dyDescent="0.2">
      <c r="A990" t="s">
        <v>3152</v>
      </c>
    </row>
    <row r="991" spans="1:1" x14ac:dyDescent="0.2">
      <c r="A991" t="s">
        <v>3153</v>
      </c>
    </row>
    <row r="992" spans="1:1" x14ac:dyDescent="0.2">
      <c r="A992" t="s">
        <v>3154</v>
      </c>
    </row>
    <row r="993" spans="1:1" x14ac:dyDescent="0.2">
      <c r="A993" t="s">
        <v>3155</v>
      </c>
    </row>
    <row r="994" spans="1:1" x14ac:dyDescent="0.2">
      <c r="A994" t="s">
        <v>3156</v>
      </c>
    </row>
    <row r="995" spans="1:1" x14ac:dyDescent="0.2">
      <c r="A995" t="s">
        <v>3157</v>
      </c>
    </row>
    <row r="996" spans="1:1" x14ac:dyDescent="0.2">
      <c r="A996" t="s">
        <v>3158</v>
      </c>
    </row>
    <row r="997" spans="1:1" x14ac:dyDescent="0.2">
      <c r="A997" t="s">
        <v>3159</v>
      </c>
    </row>
    <row r="998" spans="1:1" x14ac:dyDescent="0.2">
      <c r="A998" t="s">
        <v>3160</v>
      </c>
    </row>
    <row r="999" spans="1:1" x14ac:dyDescent="0.2">
      <c r="A999" t="s">
        <v>3161</v>
      </c>
    </row>
    <row r="1000" spans="1:1" x14ac:dyDescent="0.2">
      <c r="A1000" t="s">
        <v>3162</v>
      </c>
    </row>
    <row r="1001" spans="1:1" x14ac:dyDescent="0.2">
      <c r="A1001" t="s">
        <v>3163</v>
      </c>
    </row>
    <row r="1002" spans="1:1" x14ac:dyDescent="0.2">
      <c r="A1002" t="s">
        <v>3164</v>
      </c>
    </row>
    <row r="1003" spans="1:1" x14ac:dyDescent="0.2">
      <c r="A1003" t="s">
        <v>3165</v>
      </c>
    </row>
    <row r="1004" spans="1:1" x14ac:dyDescent="0.2">
      <c r="A1004" t="s">
        <v>3166</v>
      </c>
    </row>
    <row r="1005" spans="1:1" x14ac:dyDescent="0.2">
      <c r="A1005" t="s">
        <v>3167</v>
      </c>
    </row>
    <row r="1006" spans="1:1" x14ac:dyDescent="0.2">
      <c r="A1006" t="s">
        <v>3168</v>
      </c>
    </row>
    <row r="1007" spans="1:1" x14ac:dyDescent="0.2">
      <c r="A1007" t="s">
        <v>3169</v>
      </c>
    </row>
    <row r="1008" spans="1:1" x14ac:dyDescent="0.2">
      <c r="A1008" t="s">
        <v>3170</v>
      </c>
    </row>
    <row r="1009" spans="1:1" x14ac:dyDescent="0.2">
      <c r="A1009" t="s">
        <v>3171</v>
      </c>
    </row>
    <row r="1010" spans="1:1" x14ac:dyDescent="0.2">
      <c r="A1010" t="s">
        <v>3172</v>
      </c>
    </row>
    <row r="1011" spans="1:1" x14ac:dyDescent="0.2">
      <c r="A1011" t="s">
        <v>3173</v>
      </c>
    </row>
    <row r="1012" spans="1:1" x14ac:dyDescent="0.2">
      <c r="A1012" t="s">
        <v>3174</v>
      </c>
    </row>
    <row r="1013" spans="1:1" x14ac:dyDescent="0.2">
      <c r="A1013" t="s">
        <v>3175</v>
      </c>
    </row>
    <row r="1014" spans="1:1" x14ac:dyDescent="0.2">
      <c r="A1014" t="s">
        <v>3176</v>
      </c>
    </row>
    <row r="1015" spans="1:1" x14ac:dyDescent="0.2">
      <c r="A1015" t="s">
        <v>3177</v>
      </c>
    </row>
    <row r="1016" spans="1:1" x14ac:dyDescent="0.2">
      <c r="A1016" t="s">
        <v>3178</v>
      </c>
    </row>
    <row r="1017" spans="1:1" x14ac:dyDescent="0.2">
      <c r="A1017" t="s">
        <v>3179</v>
      </c>
    </row>
    <row r="1018" spans="1:1" x14ac:dyDescent="0.2">
      <c r="A1018" t="s">
        <v>3180</v>
      </c>
    </row>
    <row r="1019" spans="1:1" x14ac:dyDescent="0.2">
      <c r="A1019" t="s">
        <v>3181</v>
      </c>
    </row>
    <row r="1020" spans="1:1" x14ac:dyDescent="0.2">
      <c r="A1020" t="s">
        <v>3182</v>
      </c>
    </row>
    <row r="1021" spans="1:1" x14ac:dyDescent="0.2">
      <c r="A1021" t="s">
        <v>3183</v>
      </c>
    </row>
    <row r="1022" spans="1:1" x14ac:dyDescent="0.2">
      <c r="A1022" t="s">
        <v>3184</v>
      </c>
    </row>
    <row r="1023" spans="1:1" x14ac:dyDescent="0.2">
      <c r="A1023" t="s">
        <v>3185</v>
      </c>
    </row>
    <row r="1024" spans="1:1" x14ac:dyDescent="0.2">
      <c r="A1024" t="s">
        <v>3186</v>
      </c>
    </row>
    <row r="1025" spans="1:1" x14ac:dyDescent="0.2">
      <c r="A1025" t="s">
        <v>3187</v>
      </c>
    </row>
    <row r="1026" spans="1:1" x14ac:dyDescent="0.2">
      <c r="A1026" t="s">
        <v>3188</v>
      </c>
    </row>
    <row r="1027" spans="1:1" x14ac:dyDescent="0.2">
      <c r="A1027" t="s">
        <v>3189</v>
      </c>
    </row>
    <row r="1028" spans="1:1" x14ac:dyDescent="0.2">
      <c r="A1028" t="s">
        <v>3190</v>
      </c>
    </row>
    <row r="1029" spans="1:1" x14ac:dyDescent="0.2">
      <c r="A1029" t="s">
        <v>3191</v>
      </c>
    </row>
    <row r="1030" spans="1:1" x14ac:dyDescent="0.2">
      <c r="A1030" t="s">
        <v>3192</v>
      </c>
    </row>
    <row r="1031" spans="1:1" x14ac:dyDescent="0.2">
      <c r="A1031" t="s">
        <v>3193</v>
      </c>
    </row>
    <row r="1032" spans="1:1" x14ac:dyDescent="0.2">
      <c r="A1032" t="s">
        <v>3194</v>
      </c>
    </row>
    <row r="1033" spans="1:1" x14ac:dyDescent="0.2">
      <c r="A1033" t="s">
        <v>3195</v>
      </c>
    </row>
    <row r="1034" spans="1:1" x14ac:dyDescent="0.2">
      <c r="A1034" t="s">
        <v>3196</v>
      </c>
    </row>
    <row r="1035" spans="1:1" x14ac:dyDescent="0.2">
      <c r="A1035" t="s">
        <v>3197</v>
      </c>
    </row>
    <row r="1036" spans="1:1" x14ac:dyDescent="0.2">
      <c r="A1036" t="s">
        <v>3198</v>
      </c>
    </row>
    <row r="1037" spans="1:1" x14ac:dyDescent="0.2">
      <c r="A1037" t="s">
        <v>3199</v>
      </c>
    </row>
    <row r="1038" spans="1:1" x14ac:dyDescent="0.2">
      <c r="A1038" t="s">
        <v>3200</v>
      </c>
    </row>
    <row r="1039" spans="1:1" x14ac:dyDescent="0.2">
      <c r="A1039" t="s">
        <v>3201</v>
      </c>
    </row>
    <row r="1040" spans="1:1" x14ac:dyDescent="0.2">
      <c r="A1040" t="s">
        <v>3202</v>
      </c>
    </row>
    <row r="1041" spans="1:1" x14ac:dyDescent="0.2">
      <c r="A1041" t="s">
        <v>3203</v>
      </c>
    </row>
    <row r="1042" spans="1:1" x14ac:dyDescent="0.2">
      <c r="A1042" t="s">
        <v>3204</v>
      </c>
    </row>
    <row r="1043" spans="1:1" x14ac:dyDescent="0.2">
      <c r="A1043" t="s">
        <v>3205</v>
      </c>
    </row>
    <row r="1044" spans="1:1" x14ac:dyDescent="0.2">
      <c r="A1044" t="s">
        <v>3206</v>
      </c>
    </row>
    <row r="1045" spans="1:1" x14ac:dyDescent="0.2">
      <c r="A1045" t="s">
        <v>3207</v>
      </c>
    </row>
    <row r="1046" spans="1:1" x14ac:dyDescent="0.2">
      <c r="A1046" t="s">
        <v>3208</v>
      </c>
    </row>
    <row r="1047" spans="1:1" x14ac:dyDescent="0.2">
      <c r="A1047" t="s">
        <v>3209</v>
      </c>
    </row>
    <row r="1048" spans="1:1" x14ac:dyDescent="0.2">
      <c r="A1048" t="s">
        <v>3210</v>
      </c>
    </row>
    <row r="1049" spans="1:1" x14ac:dyDescent="0.2">
      <c r="A1049" t="s">
        <v>3211</v>
      </c>
    </row>
    <row r="1050" spans="1:1" x14ac:dyDescent="0.2">
      <c r="A1050" t="s">
        <v>3212</v>
      </c>
    </row>
    <row r="1051" spans="1:1" x14ac:dyDescent="0.2">
      <c r="A1051" t="s">
        <v>3213</v>
      </c>
    </row>
    <row r="1052" spans="1:1" x14ac:dyDescent="0.2">
      <c r="A1052" t="s">
        <v>3214</v>
      </c>
    </row>
    <row r="1053" spans="1:1" x14ac:dyDescent="0.2">
      <c r="A1053" t="s">
        <v>3215</v>
      </c>
    </row>
    <row r="1054" spans="1:1" x14ac:dyDescent="0.2">
      <c r="A1054" t="s">
        <v>3216</v>
      </c>
    </row>
    <row r="1055" spans="1:1" x14ac:dyDescent="0.2">
      <c r="A1055" t="s">
        <v>3217</v>
      </c>
    </row>
    <row r="1056" spans="1:1" x14ac:dyDescent="0.2">
      <c r="A1056" t="s">
        <v>3218</v>
      </c>
    </row>
    <row r="1057" spans="1:1" x14ac:dyDescent="0.2">
      <c r="A1057" t="s">
        <v>3219</v>
      </c>
    </row>
    <row r="1058" spans="1:1" x14ac:dyDescent="0.2">
      <c r="A1058" t="s">
        <v>3220</v>
      </c>
    </row>
    <row r="1059" spans="1:1" x14ac:dyDescent="0.2">
      <c r="A1059" t="s">
        <v>3221</v>
      </c>
    </row>
    <row r="1060" spans="1:1" x14ac:dyDescent="0.2">
      <c r="A1060" t="s">
        <v>3222</v>
      </c>
    </row>
    <row r="1061" spans="1:1" x14ac:dyDescent="0.2">
      <c r="A1061" t="s">
        <v>3223</v>
      </c>
    </row>
    <row r="1062" spans="1:1" x14ac:dyDescent="0.2">
      <c r="A1062" t="s">
        <v>3224</v>
      </c>
    </row>
    <row r="1063" spans="1:1" x14ac:dyDescent="0.2">
      <c r="A1063" t="s">
        <v>3225</v>
      </c>
    </row>
    <row r="1064" spans="1:1" x14ac:dyDescent="0.2">
      <c r="A1064" t="s">
        <v>3226</v>
      </c>
    </row>
    <row r="1065" spans="1:1" x14ac:dyDescent="0.2">
      <c r="A1065" t="s">
        <v>3227</v>
      </c>
    </row>
    <row r="1066" spans="1:1" x14ac:dyDescent="0.2">
      <c r="A1066" t="s">
        <v>3228</v>
      </c>
    </row>
    <row r="1067" spans="1:1" x14ac:dyDescent="0.2">
      <c r="A1067" t="s">
        <v>3229</v>
      </c>
    </row>
    <row r="1068" spans="1:1" x14ac:dyDescent="0.2">
      <c r="A1068" t="s">
        <v>3230</v>
      </c>
    </row>
    <row r="1069" spans="1:1" x14ac:dyDescent="0.2">
      <c r="A1069" t="s">
        <v>3231</v>
      </c>
    </row>
    <row r="1070" spans="1:1" x14ac:dyDescent="0.2">
      <c r="A1070" t="s">
        <v>3232</v>
      </c>
    </row>
    <row r="1071" spans="1:1" x14ac:dyDescent="0.2">
      <c r="A1071" t="s">
        <v>3233</v>
      </c>
    </row>
    <row r="1072" spans="1:1" x14ac:dyDescent="0.2">
      <c r="A1072" t="s">
        <v>3234</v>
      </c>
    </row>
    <row r="1073" spans="1:1" x14ac:dyDescent="0.2">
      <c r="A1073" t="s">
        <v>3235</v>
      </c>
    </row>
    <row r="1074" spans="1:1" x14ac:dyDescent="0.2">
      <c r="A1074" t="s">
        <v>3236</v>
      </c>
    </row>
    <row r="1075" spans="1:1" x14ac:dyDescent="0.2">
      <c r="A1075" t="s">
        <v>3237</v>
      </c>
    </row>
    <row r="1076" spans="1:1" x14ac:dyDescent="0.2">
      <c r="A1076" t="s">
        <v>3238</v>
      </c>
    </row>
    <row r="1077" spans="1:1" x14ac:dyDescent="0.2">
      <c r="A1077" t="s">
        <v>3239</v>
      </c>
    </row>
    <row r="1078" spans="1:1" x14ac:dyDescent="0.2">
      <c r="A1078" t="s">
        <v>3240</v>
      </c>
    </row>
    <row r="1079" spans="1:1" x14ac:dyDescent="0.2">
      <c r="A1079" t="s">
        <v>3241</v>
      </c>
    </row>
    <row r="1080" spans="1:1" x14ac:dyDescent="0.2">
      <c r="A1080" t="s">
        <v>3242</v>
      </c>
    </row>
    <row r="1081" spans="1:1" x14ac:dyDescent="0.2">
      <c r="A1081" t="s">
        <v>3243</v>
      </c>
    </row>
    <row r="1082" spans="1:1" x14ac:dyDescent="0.2">
      <c r="A1082" t="s">
        <v>3244</v>
      </c>
    </row>
    <row r="1083" spans="1:1" x14ac:dyDescent="0.2">
      <c r="A1083" t="s">
        <v>3245</v>
      </c>
    </row>
    <row r="1084" spans="1:1" x14ac:dyDescent="0.2">
      <c r="A1084" t="s">
        <v>3246</v>
      </c>
    </row>
    <row r="1085" spans="1:1" x14ac:dyDescent="0.2">
      <c r="A1085" t="s">
        <v>3247</v>
      </c>
    </row>
    <row r="1086" spans="1:1" x14ac:dyDescent="0.2">
      <c r="A1086" t="s">
        <v>3248</v>
      </c>
    </row>
    <row r="1087" spans="1:1" x14ac:dyDescent="0.2">
      <c r="A1087" t="s">
        <v>3249</v>
      </c>
    </row>
    <row r="1088" spans="1:1" x14ac:dyDescent="0.2">
      <c r="A1088" t="s">
        <v>3250</v>
      </c>
    </row>
    <row r="1089" spans="1:1" x14ac:dyDescent="0.2">
      <c r="A1089" t="s">
        <v>3251</v>
      </c>
    </row>
    <row r="1090" spans="1:1" x14ac:dyDescent="0.2">
      <c r="A1090" t="s">
        <v>3252</v>
      </c>
    </row>
    <row r="1091" spans="1:1" x14ac:dyDescent="0.2">
      <c r="A1091" t="s">
        <v>3253</v>
      </c>
    </row>
    <row r="1092" spans="1:1" x14ac:dyDescent="0.2">
      <c r="A1092" t="s">
        <v>3254</v>
      </c>
    </row>
    <row r="1093" spans="1:1" x14ac:dyDescent="0.2">
      <c r="A1093" t="s">
        <v>3255</v>
      </c>
    </row>
    <row r="1094" spans="1:1" x14ac:dyDescent="0.2">
      <c r="A1094" t="s">
        <v>3256</v>
      </c>
    </row>
    <row r="1095" spans="1:1" x14ac:dyDescent="0.2">
      <c r="A1095" t="s">
        <v>3257</v>
      </c>
    </row>
    <row r="1096" spans="1:1" x14ac:dyDescent="0.2">
      <c r="A1096" t="s">
        <v>3258</v>
      </c>
    </row>
    <row r="1097" spans="1:1" x14ac:dyDescent="0.2">
      <c r="A1097" t="s">
        <v>3259</v>
      </c>
    </row>
    <row r="1098" spans="1:1" x14ac:dyDescent="0.2">
      <c r="A1098" t="s">
        <v>3260</v>
      </c>
    </row>
    <row r="1099" spans="1:1" x14ac:dyDescent="0.2">
      <c r="A1099" t="s">
        <v>3261</v>
      </c>
    </row>
    <row r="1100" spans="1:1" x14ac:dyDescent="0.2">
      <c r="A1100" t="s">
        <v>3262</v>
      </c>
    </row>
    <row r="1101" spans="1:1" x14ac:dyDescent="0.2">
      <c r="A1101" t="s">
        <v>3263</v>
      </c>
    </row>
    <row r="1102" spans="1:1" x14ac:dyDescent="0.2">
      <c r="A1102" t="s">
        <v>3264</v>
      </c>
    </row>
    <row r="1103" spans="1:1" x14ac:dyDescent="0.2">
      <c r="A1103" t="s">
        <v>3265</v>
      </c>
    </row>
    <row r="1104" spans="1:1" x14ac:dyDescent="0.2">
      <c r="A1104" t="s">
        <v>3266</v>
      </c>
    </row>
    <row r="1105" spans="1:1" x14ac:dyDescent="0.2">
      <c r="A1105" t="s">
        <v>3267</v>
      </c>
    </row>
    <row r="1106" spans="1:1" x14ac:dyDescent="0.2">
      <c r="A1106" t="s">
        <v>3268</v>
      </c>
    </row>
    <row r="1107" spans="1:1" x14ac:dyDescent="0.2">
      <c r="A1107" t="s">
        <v>3269</v>
      </c>
    </row>
    <row r="1108" spans="1:1" x14ac:dyDescent="0.2">
      <c r="A1108" t="s">
        <v>3270</v>
      </c>
    </row>
    <row r="1109" spans="1:1" x14ac:dyDescent="0.2">
      <c r="A1109" t="s">
        <v>3271</v>
      </c>
    </row>
    <row r="1110" spans="1:1" x14ac:dyDescent="0.2">
      <c r="A1110" t="s">
        <v>3272</v>
      </c>
    </row>
    <row r="1111" spans="1:1" x14ac:dyDescent="0.2">
      <c r="A1111" t="s">
        <v>3273</v>
      </c>
    </row>
    <row r="1112" spans="1:1" x14ac:dyDescent="0.2">
      <c r="A1112" t="s">
        <v>3274</v>
      </c>
    </row>
    <row r="1113" spans="1:1" x14ac:dyDescent="0.2">
      <c r="A1113" t="s">
        <v>3275</v>
      </c>
    </row>
    <row r="1114" spans="1:1" x14ac:dyDescent="0.2">
      <c r="A1114" t="s">
        <v>3276</v>
      </c>
    </row>
    <row r="1115" spans="1:1" x14ac:dyDescent="0.2">
      <c r="A1115" t="s">
        <v>3277</v>
      </c>
    </row>
    <row r="1116" spans="1:1" x14ac:dyDescent="0.2">
      <c r="A1116" t="s">
        <v>3278</v>
      </c>
    </row>
    <row r="1117" spans="1:1" x14ac:dyDescent="0.2">
      <c r="A1117" t="s">
        <v>3279</v>
      </c>
    </row>
    <row r="1118" spans="1:1" x14ac:dyDescent="0.2">
      <c r="A1118" t="s">
        <v>3280</v>
      </c>
    </row>
    <row r="1119" spans="1:1" x14ac:dyDescent="0.2">
      <c r="A1119" t="s">
        <v>3281</v>
      </c>
    </row>
    <row r="1120" spans="1:1" x14ac:dyDescent="0.2">
      <c r="A1120" t="s">
        <v>3282</v>
      </c>
    </row>
    <row r="1121" spans="1:1" x14ac:dyDescent="0.2">
      <c r="A1121" t="s">
        <v>3283</v>
      </c>
    </row>
    <row r="1122" spans="1:1" x14ac:dyDescent="0.2">
      <c r="A1122" t="s">
        <v>3284</v>
      </c>
    </row>
    <row r="1123" spans="1:1" x14ac:dyDescent="0.2">
      <c r="A1123" t="s">
        <v>3285</v>
      </c>
    </row>
    <row r="1124" spans="1:1" x14ac:dyDescent="0.2">
      <c r="A1124" t="s">
        <v>3286</v>
      </c>
    </row>
    <row r="1125" spans="1:1" x14ac:dyDescent="0.2">
      <c r="A1125" t="s">
        <v>3287</v>
      </c>
    </row>
    <row r="1126" spans="1:1" x14ac:dyDescent="0.2">
      <c r="A1126" t="s">
        <v>3288</v>
      </c>
    </row>
    <row r="1127" spans="1:1" x14ac:dyDescent="0.2">
      <c r="A1127" t="s">
        <v>3289</v>
      </c>
    </row>
    <row r="1128" spans="1:1" x14ac:dyDescent="0.2">
      <c r="A1128" t="s">
        <v>3290</v>
      </c>
    </row>
    <row r="1129" spans="1:1" x14ac:dyDescent="0.2">
      <c r="A1129" t="s">
        <v>3291</v>
      </c>
    </row>
    <row r="1130" spans="1:1" x14ac:dyDescent="0.2">
      <c r="A1130" t="s">
        <v>3292</v>
      </c>
    </row>
    <row r="1131" spans="1:1" x14ac:dyDescent="0.2">
      <c r="A1131" t="s">
        <v>3293</v>
      </c>
    </row>
    <row r="1132" spans="1:1" x14ac:dyDescent="0.2">
      <c r="A1132" t="s">
        <v>3294</v>
      </c>
    </row>
    <row r="1133" spans="1:1" x14ac:dyDescent="0.2">
      <c r="A1133" t="s">
        <v>3295</v>
      </c>
    </row>
    <row r="1134" spans="1:1" x14ac:dyDescent="0.2">
      <c r="A1134" t="s">
        <v>3296</v>
      </c>
    </row>
    <row r="1135" spans="1:1" x14ac:dyDescent="0.2">
      <c r="A1135" t="s">
        <v>3297</v>
      </c>
    </row>
    <row r="1136" spans="1:1" x14ac:dyDescent="0.2">
      <c r="A1136" t="s">
        <v>3298</v>
      </c>
    </row>
    <row r="1137" spans="1:1" x14ac:dyDescent="0.2">
      <c r="A1137" t="s">
        <v>3299</v>
      </c>
    </row>
    <row r="1138" spans="1:1" x14ac:dyDescent="0.2">
      <c r="A1138" t="s">
        <v>3300</v>
      </c>
    </row>
    <row r="1139" spans="1:1" x14ac:dyDescent="0.2">
      <c r="A1139" t="s">
        <v>3301</v>
      </c>
    </row>
    <row r="1140" spans="1:1" x14ac:dyDescent="0.2">
      <c r="A1140" t="s">
        <v>3302</v>
      </c>
    </row>
    <row r="1141" spans="1:1" x14ac:dyDescent="0.2">
      <c r="A1141" t="s">
        <v>3303</v>
      </c>
    </row>
    <row r="1142" spans="1:1" x14ac:dyDescent="0.2">
      <c r="A1142" t="s">
        <v>3304</v>
      </c>
    </row>
    <row r="1143" spans="1:1" x14ac:dyDescent="0.2">
      <c r="A1143" t="s">
        <v>3305</v>
      </c>
    </row>
    <row r="1144" spans="1:1" x14ac:dyDescent="0.2">
      <c r="A1144" t="s">
        <v>3306</v>
      </c>
    </row>
    <row r="1145" spans="1:1" x14ac:dyDescent="0.2">
      <c r="A1145" t="s">
        <v>3307</v>
      </c>
    </row>
    <row r="1146" spans="1:1" x14ac:dyDescent="0.2">
      <c r="A1146" t="s">
        <v>3308</v>
      </c>
    </row>
    <row r="1147" spans="1:1" x14ac:dyDescent="0.2">
      <c r="A1147" t="s">
        <v>3309</v>
      </c>
    </row>
    <row r="1148" spans="1:1" x14ac:dyDescent="0.2">
      <c r="A1148" t="s">
        <v>3310</v>
      </c>
    </row>
    <row r="1149" spans="1:1" x14ac:dyDescent="0.2">
      <c r="A1149" t="s">
        <v>3311</v>
      </c>
    </row>
    <row r="1150" spans="1:1" x14ac:dyDescent="0.2">
      <c r="A1150" t="s">
        <v>3312</v>
      </c>
    </row>
    <row r="1151" spans="1:1" x14ac:dyDescent="0.2">
      <c r="A1151" t="s">
        <v>3313</v>
      </c>
    </row>
    <row r="1152" spans="1:1" x14ac:dyDescent="0.2">
      <c r="A1152" t="s">
        <v>3314</v>
      </c>
    </row>
    <row r="1153" spans="1:1" x14ac:dyDescent="0.2">
      <c r="A1153" t="s">
        <v>3315</v>
      </c>
    </row>
    <row r="1154" spans="1:1" x14ac:dyDescent="0.2">
      <c r="A1154" t="s">
        <v>3316</v>
      </c>
    </row>
    <row r="1155" spans="1:1" x14ac:dyDescent="0.2">
      <c r="A1155" t="s">
        <v>3317</v>
      </c>
    </row>
    <row r="1156" spans="1:1" x14ac:dyDescent="0.2">
      <c r="A1156" t="s">
        <v>3318</v>
      </c>
    </row>
    <row r="1157" spans="1:1" x14ac:dyDescent="0.2">
      <c r="A1157" t="s">
        <v>3319</v>
      </c>
    </row>
    <row r="1158" spans="1:1" x14ac:dyDescent="0.2">
      <c r="A1158" t="s">
        <v>3320</v>
      </c>
    </row>
    <row r="1159" spans="1:1" x14ac:dyDescent="0.2">
      <c r="A1159" t="s">
        <v>3321</v>
      </c>
    </row>
    <row r="1160" spans="1:1" x14ac:dyDescent="0.2">
      <c r="A1160" t="s">
        <v>3322</v>
      </c>
    </row>
    <row r="1161" spans="1:1" x14ac:dyDescent="0.2">
      <c r="A1161" t="s">
        <v>3323</v>
      </c>
    </row>
    <row r="1162" spans="1:1" x14ac:dyDescent="0.2">
      <c r="A1162" t="s">
        <v>3324</v>
      </c>
    </row>
    <row r="1163" spans="1:1" x14ac:dyDescent="0.2">
      <c r="A1163" t="s">
        <v>3325</v>
      </c>
    </row>
    <row r="1164" spans="1:1" x14ac:dyDescent="0.2">
      <c r="A1164" t="s">
        <v>3326</v>
      </c>
    </row>
    <row r="1165" spans="1:1" x14ac:dyDescent="0.2">
      <c r="A1165" t="s">
        <v>3327</v>
      </c>
    </row>
    <row r="1166" spans="1:1" x14ac:dyDescent="0.2">
      <c r="A1166" t="s">
        <v>3328</v>
      </c>
    </row>
    <row r="1167" spans="1:1" x14ac:dyDescent="0.2">
      <c r="A1167" t="s">
        <v>3329</v>
      </c>
    </row>
    <row r="1168" spans="1:1" x14ac:dyDescent="0.2">
      <c r="A1168" t="s">
        <v>3330</v>
      </c>
    </row>
    <row r="1169" spans="1:1" x14ac:dyDescent="0.2">
      <c r="A1169" t="s">
        <v>3331</v>
      </c>
    </row>
    <row r="1170" spans="1:1" x14ac:dyDescent="0.2">
      <c r="A1170" t="s">
        <v>3332</v>
      </c>
    </row>
    <row r="1171" spans="1:1" x14ac:dyDescent="0.2">
      <c r="A1171" t="s">
        <v>3333</v>
      </c>
    </row>
    <row r="1172" spans="1:1" x14ac:dyDescent="0.2">
      <c r="A1172" t="s">
        <v>3334</v>
      </c>
    </row>
    <row r="1173" spans="1:1" x14ac:dyDescent="0.2">
      <c r="A1173" t="s">
        <v>3335</v>
      </c>
    </row>
    <row r="1174" spans="1:1" x14ac:dyDescent="0.2">
      <c r="A1174" t="s">
        <v>3336</v>
      </c>
    </row>
    <row r="1175" spans="1:1" x14ac:dyDescent="0.2">
      <c r="A1175" t="s">
        <v>3337</v>
      </c>
    </row>
    <row r="1176" spans="1:1" x14ac:dyDescent="0.2">
      <c r="A1176" t="s">
        <v>3338</v>
      </c>
    </row>
    <row r="1177" spans="1:1" x14ac:dyDescent="0.2">
      <c r="A1177" t="s">
        <v>3339</v>
      </c>
    </row>
    <row r="1178" spans="1:1" x14ac:dyDescent="0.2">
      <c r="A1178" t="s">
        <v>3340</v>
      </c>
    </row>
    <row r="1179" spans="1:1" x14ac:dyDescent="0.2">
      <c r="A1179" t="s">
        <v>3341</v>
      </c>
    </row>
    <row r="1180" spans="1:1" x14ac:dyDescent="0.2">
      <c r="A1180" t="s">
        <v>3342</v>
      </c>
    </row>
    <row r="1181" spans="1:1" x14ac:dyDescent="0.2">
      <c r="A1181" t="s">
        <v>3343</v>
      </c>
    </row>
    <row r="1182" spans="1:1" x14ac:dyDescent="0.2">
      <c r="A1182" t="s">
        <v>3344</v>
      </c>
    </row>
    <row r="1183" spans="1:1" x14ac:dyDescent="0.2">
      <c r="A1183" t="s">
        <v>3345</v>
      </c>
    </row>
    <row r="1184" spans="1:1" x14ac:dyDescent="0.2">
      <c r="A1184" t="s">
        <v>3346</v>
      </c>
    </row>
    <row r="1185" spans="1:1" x14ac:dyDescent="0.2">
      <c r="A1185" t="s">
        <v>3347</v>
      </c>
    </row>
    <row r="1186" spans="1:1" x14ac:dyDescent="0.2">
      <c r="A1186" t="s">
        <v>3348</v>
      </c>
    </row>
    <row r="1187" spans="1:1" x14ac:dyDescent="0.2">
      <c r="A1187" t="s">
        <v>3349</v>
      </c>
    </row>
    <row r="1188" spans="1:1" x14ac:dyDescent="0.2">
      <c r="A1188" t="s">
        <v>3350</v>
      </c>
    </row>
    <row r="1189" spans="1:1" x14ac:dyDescent="0.2">
      <c r="A1189" t="s">
        <v>3351</v>
      </c>
    </row>
    <row r="1190" spans="1:1" x14ac:dyDescent="0.2">
      <c r="A1190" t="s">
        <v>3352</v>
      </c>
    </row>
    <row r="1191" spans="1:1" x14ac:dyDescent="0.2">
      <c r="A1191" t="s">
        <v>3353</v>
      </c>
    </row>
    <row r="1192" spans="1:1" x14ac:dyDescent="0.2">
      <c r="A1192" t="s">
        <v>3354</v>
      </c>
    </row>
    <row r="1193" spans="1:1" x14ac:dyDescent="0.2">
      <c r="A1193" t="s">
        <v>3355</v>
      </c>
    </row>
    <row r="1194" spans="1:1" x14ac:dyDescent="0.2">
      <c r="A1194" t="s">
        <v>3356</v>
      </c>
    </row>
    <row r="1195" spans="1:1" x14ac:dyDescent="0.2">
      <c r="A1195" t="s">
        <v>3357</v>
      </c>
    </row>
    <row r="1196" spans="1:1" x14ac:dyDescent="0.2">
      <c r="A1196" t="s">
        <v>3358</v>
      </c>
    </row>
    <row r="1197" spans="1:1" x14ac:dyDescent="0.2">
      <c r="A1197" t="s">
        <v>3359</v>
      </c>
    </row>
    <row r="1198" spans="1:1" x14ac:dyDescent="0.2">
      <c r="A1198" t="s">
        <v>3360</v>
      </c>
    </row>
    <row r="1199" spans="1:1" x14ac:dyDescent="0.2">
      <c r="A1199" t="s">
        <v>3361</v>
      </c>
    </row>
    <row r="1200" spans="1:1" x14ac:dyDescent="0.2">
      <c r="A1200" t="s">
        <v>3362</v>
      </c>
    </row>
    <row r="1201" spans="1:1" x14ac:dyDescent="0.2">
      <c r="A1201" t="s">
        <v>3363</v>
      </c>
    </row>
    <row r="1202" spans="1:1" x14ac:dyDescent="0.2">
      <c r="A1202" t="s">
        <v>3364</v>
      </c>
    </row>
    <row r="1203" spans="1:1" x14ac:dyDescent="0.2">
      <c r="A1203" t="s">
        <v>3365</v>
      </c>
    </row>
    <row r="1204" spans="1:1" x14ac:dyDescent="0.2">
      <c r="A1204" t="s">
        <v>3366</v>
      </c>
    </row>
    <row r="1205" spans="1:1" x14ac:dyDescent="0.2">
      <c r="A1205" t="s">
        <v>3367</v>
      </c>
    </row>
    <row r="1206" spans="1:1" x14ac:dyDescent="0.2">
      <c r="A1206" t="s">
        <v>3368</v>
      </c>
    </row>
    <row r="1207" spans="1:1" x14ac:dyDescent="0.2">
      <c r="A1207" t="s">
        <v>3369</v>
      </c>
    </row>
    <row r="1208" spans="1:1" x14ac:dyDescent="0.2">
      <c r="A1208" t="s">
        <v>3370</v>
      </c>
    </row>
    <row r="1209" spans="1:1" x14ac:dyDescent="0.2">
      <c r="A1209" t="s">
        <v>3371</v>
      </c>
    </row>
    <row r="1210" spans="1:1" x14ac:dyDescent="0.2">
      <c r="A1210" t="s">
        <v>3372</v>
      </c>
    </row>
    <row r="1211" spans="1:1" x14ac:dyDescent="0.2">
      <c r="A1211" t="s">
        <v>3373</v>
      </c>
    </row>
    <row r="1212" spans="1:1" x14ac:dyDescent="0.2">
      <c r="A1212" t="s">
        <v>3374</v>
      </c>
    </row>
    <row r="1213" spans="1:1" x14ac:dyDescent="0.2">
      <c r="A1213" t="s">
        <v>3375</v>
      </c>
    </row>
    <row r="1214" spans="1:1" x14ac:dyDescent="0.2">
      <c r="A1214" t="s">
        <v>3376</v>
      </c>
    </row>
    <row r="1215" spans="1:1" x14ac:dyDescent="0.2">
      <c r="A1215" t="s">
        <v>3377</v>
      </c>
    </row>
    <row r="1216" spans="1:1" x14ac:dyDescent="0.2">
      <c r="A1216" t="s">
        <v>3378</v>
      </c>
    </row>
    <row r="1217" spans="1:1" x14ac:dyDescent="0.2">
      <c r="A1217" t="s">
        <v>3379</v>
      </c>
    </row>
    <row r="1218" spans="1:1" x14ac:dyDescent="0.2">
      <c r="A1218" t="s">
        <v>3380</v>
      </c>
    </row>
    <row r="1219" spans="1:1" x14ac:dyDescent="0.2">
      <c r="A1219" t="s">
        <v>3381</v>
      </c>
    </row>
    <row r="1220" spans="1:1" x14ac:dyDescent="0.2">
      <c r="A1220" t="s">
        <v>3382</v>
      </c>
    </row>
    <row r="1221" spans="1:1" x14ac:dyDescent="0.2">
      <c r="A1221" t="s">
        <v>3383</v>
      </c>
    </row>
    <row r="1222" spans="1:1" x14ac:dyDescent="0.2">
      <c r="A1222" t="s">
        <v>3384</v>
      </c>
    </row>
    <row r="1223" spans="1:1" x14ac:dyDescent="0.2">
      <c r="A1223" t="s">
        <v>3385</v>
      </c>
    </row>
    <row r="1224" spans="1:1" x14ac:dyDescent="0.2">
      <c r="A1224" t="s">
        <v>3386</v>
      </c>
    </row>
    <row r="1225" spans="1:1" x14ac:dyDescent="0.2">
      <c r="A1225" t="s">
        <v>3387</v>
      </c>
    </row>
    <row r="1226" spans="1:1" x14ac:dyDescent="0.2">
      <c r="A1226" t="s">
        <v>3388</v>
      </c>
    </row>
    <row r="1227" spans="1:1" x14ac:dyDescent="0.2">
      <c r="A1227" t="s">
        <v>3389</v>
      </c>
    </row>
    <row r="1228" spans="1:1" x14ac:dyDescent="0.2">
      <c r="A1228" t="s">
        <v>3390</v>
      </c>
    </row>
    <row r="1229" spans="1:1" x14ac:dyDescent="0.2">
      <c r="A1229" t="s">
        <v>3391</v>
      </c>
    </row>
    <row r="1230" spans="1:1" x14ac:dyDescent="0.2">
      <c r="A1230" t="s">
        <v>3392</v>
      </c>
    </row>
    <row r="1231" spans="1:1" x14ac:dyDescent="0.2">
      <c r="A1231" t="s">
        <v>3393</v>
      </c>
    </row>
    <row r="1232" spans="1:1" x14ac:dyDescent="0.2">
      <c r="A1232" t="s">
        <v>3394</v>
      </c>
    </row>
    <row r="1233" spans="1:1" x14ac:dyDescent="0.2">
      <c r="A1233" t="s">
        <v>3395</v>
      </c>
    </row>
    <row r="1234" spans="1:1" x14ac:dyDescent="0.2">
      <c r="A1234" t="s">
        <v>3396</v>
      </c>
    </row>
    <row r="1235" spans="1:1" x14ac:dyDescent="0.2">
      <c r="A1235" t="s">
        <v>3397</v>
      </c>
    </row>
    <row r="1236" spans="1:1" x14ac:dyDescent="0.2">
      <c r="A1236" t="s">
        <v>3398</v>
      </c>
    </row>
    <row r="1237" spans="1:1" x14ac:dyDescent="0.2">
      <c r="A1237" t="s">
        <v>3399</v>
      </c>
    </row>
    <row r="1238" spans="1:1" x14ac:dyDescent="0.2">
      <c r="A1238" t="s">
        <v>3400</v>
      </c>
    </row>
    <row r="1239" spans="1:1" x14ac:dyDescent="0.2">
      <c r="A1239" t="s">
        <v>3401</v>
      </c>
    </row>
    <row r="1240" spans="1:1" x14ac:dyDescent="0.2">
      <c r="A1240" t="s">
        <v>3402</v>
      </c>
    </row>
    <row r="1241" spans="1:1" x14ac:dyDescent="0.2">
      <c r="A1241" t="s">
        <v>3403</v>
      </c>
    </row>
    <row r="1242" spans="1:1" x14ac:dyDescent="0.2">
      <c r="A1242" t="s">
        <v>3404</v>
      </c>
    </row>
    <row r="1243" spans="1:1" x14ac:dyDescent="0.2">
      <c r="A1243" t="s">
        <v>3405</v>
      </c>
    </row>
    <row r="1244" spans="1:1" x14ac:dyDescent="0.2">
      <c r="A1244" t="s">
        <v>3406</v>
      </c>
    </row>
    <row r="1245" spans="1:1" x14ac:dyDescent="0.2">
      <c r="A1245" t="s">
        <v>3407</v>
      </c>
    </row>
    <row r="1246" spans="1:1" x14ac:dyDescent="0.2">
      <c r="A1246" t="s">
        <v>3408</v>
      </c>
    </row>
    <row r="1247" spans="1:1" x14ac:dyDescent="0.2">
      <c r="A1247" t="s">
        <v>3409</v>
      </c>
    </row>
    <row r="1248" spans="1:1" x14ac:dyDescent="0.2">
      <c r="A1248" t="s">
        <v>3410</v>
      </c>
    </row>
    <row r="1249" spans="1:1" x14ac:dyDescent="0.2">
      <c r="A1249" t="s">
        <v>3411</v>
      </c>
    </row>
    <row r="1250" spans="1:1" x14ac:dyDescent="0.2">
      <c r="A1250" t="s">
        <v>3412</v>
      </c>
    </row>
    <row r="1251" spans="1:1" x14ac:dyDescent="0.2">
      <c r="A1251" t="s">
        <v>3413</v>
      </c>
    </row>
    <row r="1252" spans="1:1" x14ac:dyDescent="0.2">
      <c r="A1252" t="s">
        <v>3414</v>
      </c>
    </row>
    <row r="1253" spans="1:1" x14ac:dyDescent="0.2">
      <c r="A1253" t="s">
        <v>3415</v>
      </c>
    </row>
    <row r="1254" spans="1:1" x14ac:dyDescent="0.2">
      <c r="A1254" t="s">
        <v>3416</v>
      </c>
    </row>
    <row r="1255" spans="1:1" x14ac:dyDescent="0.2">
      <c r="A1255" t="s">
        <v>3417</v>
      </c>
    </row>
    <row r="1256" spans="1:1" x14ac:dyDescent="0.2">
      <c r="A1256" t="s">
        <v>3418</v>
      </c>
    </row>
    <row r="1257" spans="1:1" x14ac:dyDescent="0.2">
      <c r="A1257" t="s">
        <v>3419</v>
      </c>
    </row>
    <row r="1258" spans="1:1" x14ac:dyDescent="0.2">
      <c r="A1258" t="s">
        <v>3420</v>
      </c>
    </row>
    <row r="1259" spans="1:1" x14ac:dyDescent="0.2">
      <c r="A1259" t="s">
        <v>3421</v>
      </c>
    </row>
    <row r="1260" spans="1:1" x14ac:dyDescent="0.2">
      <c r="A1260" t="s">
        <v>3422</v>
      </c>
    </row>
    <row r="1261" spans="1:1" x14ac:dyDescent="0.2">
      <c r="A1261" t="s">
        <v>3423</v>
      </c>
    </row>
    <row r="1262" spans="1:1" x14ac:dyDescent="0.2">
      <c r="A1262" t="s">
        <v>3424</v>
      </c>
    </row>
    <row r="1263" spans="1:1" x14ac:dyDescent="0.2">
      <c r="A1263" t="s">
        <v>3425</v>
      </c>
    </row>
    <row r="1264" spans="1:1" x14ac:dyDescent="0.2">
      <c r="A1264" t="s">
        <v>3426</v>
      </c>
    </row>
    <row r="1265" spans="1:1" x14ac:dyDescent="0.2">
      <c r="A1265" t="s">
        <v>3427</v>
      </c>
    </row>
    <row r="1266" spans="1:1" x14ac:dyDescent="0.2">
      <c r="A1266" t="s">
        <v>3428</v>
      </c>
    </row>
    <row r="1267" spans="1:1" x14ac:dyDescent="0.2">
      <c r="A1267" t="s">
        <v>3429</v>
      </c>
    </row>
    <row r="1268" spans="1:1" x14ac:dyDescent="0.2">
      <c r="A1268" t="s">
        <v>3430</v>
      </c>
    </row>
    <row r="1269" spans="1:1" x14ac:dyDescent="0.2">
      <c r="A1269" t="s">
        <v>3431</v>
      </c>
    </row>
    <row r="1270" spans="1:1" x14ac:dyDescent="0.2">
      <c r="A1270" t="s">
        <v>3432</v>
      </c>
    </row>
    <row r="1271" spans="1:1" x14ac:dyDescent="0.2">
      <c r="A1271" t="s">
        <v>3433</v>
      </c>
    </row>
    <row r="1272" spans="1:1" x14ac:dyDescent="0.2">
      <c r="A1272" t="s">
        <v>3434</v>
      </c>
    </row>
    <row r="1273" spans="1:1" x14ac:dyDescent="0.2">
      <c r="A1273" t="s">
        <v>3435</v>
      </c>
    </row>
    <row r="1274" spans="1:1" x14ac:dyDescent="0.2">
      <c r="A1274" t="s">
        <v>3436</v>
      </c>
    </row>
    <row r="1275" spans="1:1" x14ac:dyDescent="0.2">
      <c r="A1275" t="s">
        <v>3437</v>
      </c>
    </row>
    <row r="1276" spans="1:1" x14ac:dyDescent="0.2">
      <c r="A1276" t="s">
        <v>3438</v>
      </c>
    </row>
    <row r="1277" spans="1:1" x14ac:dyDescent="0.2">
      <c r="A1277" t="s">
        <v>3439</v>
      </c>
    </row>
    <row r="1278" spans="1:1" x14ac:dyDescent="0.2">
      <c r="A1278" t="s">
        <v>3440</v>
      </c>
    </row>
    <row r="1279" spans="1:1" x14ac:dyDescent="0.2">
      <c r="A1279" t="s">
        <v>3441</v>
      </c>
    </row>
    <row r="1280" spans="1:1" x14ac:dyDescent="0.2">
      <c r="A1280" t="s">
        <v>3442</v>
      </c>
    </row>
    <row r="1281" spans="1:1" x14ac:dyDescent="0.2">
      <c r="A1281" t="s">
        <v>3443</v>
      </c>
    </row>
    <row r="1282" spans="1:1" x14ac:dyDescent="0.2">
      <c r="A1282" t="s">
        <v>3444</v>
      </c>
    </row>
    <row r="1283" spans="1:1" x14ac:dyDescent="0.2">
      <c r="A1283" t="s">
        <v>3445</v>
      </c>
    </row>
    <row r="1284" spans="1:1" x14ac:dyDescent="0.2">
      <c r="A1284" t="s">
        <v>3446</v>
      </c>
    </row>
    <row r="1285" spans="1:1" x14ac:dyDescent="0.2">
      <c r="A1285" t="s">
        <v>3447</v>
      </c>
    </row>
    <row r="1286" spans="1:1" x14ac:dyDescent="0.2">
      <c r="A1286" t="s">
        <v>3448</v>
      </c>
    </row>
    <row r="1287" spans="1:1" x14ac:dyDescent="0.2">
      <c r="A1287" t="s">
        <v>3449</v>
      </c>
    </row>
    <row r="1288" spans="1:1" x14ac:dyDescent="0.2">
      <c r="A1288" t="s">
        <v>3450</v>
      </c>
    </row>
    <row r="1289" spans="1:1" x14ac:dyDescent="0.2">
      <c r="A1289" t="s">
        <v>3451</v>
      </c>
    </row>
    <row r="1290" spans="1:1" x14ac:dyDescent="0.2">
      <c r="A1290" t="s">
        <v>3452</v>
      </c>
    </row>
    <row r="1291" spans="1:1" x14ac:dyDescent="0.2">
      <c r="A1291" t="s">
        <v>3453</v>
      </c>
    </row>
    <row r="1292" spans="1:1" x14ac:dyDescent="0.2">
      <c r="A1292" t="s">
        <v>3454</v>
      </c>
    </row>
    <row r="1293" spans="1:1" x14ac:dyDescent="0.2">
      <c r="A1293" t="s">
        <v>3455</v>
      </c>
    </row>
    <row r="1294" spans="1:1" x14ac:dyDescent="0.2">
      <c r="A1294" t="s">
        <v>3456</v>
      </c>
    </row>
    <row r="1295" spans="1:1" x14ac:dyDescent="0.2">
      <c r="A1295" t="s">
        <v>3457</v>
      </c>
    </row>
    <row r="1296" spans="1:1" x14ac:dyDescent="0.2">
      <c r="A1296" t="s">
        <v>3458</v>
      </c>
    </row>
    <row r="1297" spans="1:1" x14ac:dyDescent="0.2">
      <c r="A1297" t="s">
        <v>3459</v>
      </c>
    </row>
    <row r="1298" spans="1:1" x14ac:dyDescent="0.2">
      <c r="A1298" t="s">
        <v>3460</v>
      </c>
    </row>
    <row r="1299" spans="1:1" x14ac:dyDescent="0.2">
      <c r="A1299" t="s">
        <v>3461</v>
      </c>
    </row>
    <row r="1300" spans="1:1" x14ac:dyDescent="0.2">
      <c r="A1300" t="s">
        <v>3462</v>
      </c>
    </row>
    <row r="1301" spans="1:1" x14ac:dyDescent="0.2">
      <c r="A1301" t="s">
        <v>3463</v>
      </c>
    </row>
    <row r="1302" spans="1:1" x14ac:dyDescent="0.2">
      <c r="A1302" t="s">
        <v>3464</v>
      </c>
    </row>
    <row r="1303" spans="1:1" x14ac:dyDescent="0.2">
      <c r="A1303" t="s">
        <v>3465</v>
      </c>
    </row>
    <row r="1304" spans="1:1" x14ac:dyDescent="0.2">
      <c r="A1304" t="s">
        <v>3466</v>
      </c>
    </row>
    <row r="1305" spans="1:1" x14ac:dyDescent="0.2">
      <c r="A1305" t="s">
        <v>3467</v>
      </c>
    </row>
    <row r="1306" spans="1:1" x14ac:dyDescent="0.2">
      <c r="A1306" t="s">
        <v>3468</v>
      </c>
    </row>
    <row r="1307" spans="1:1" x14ac:dyDescent="0.2">
      <c r="A1307" t="s">
        <v>3469</v>
      </c>
    </row>
    <row r="1308" spans="1:1" x14ac:dyDescent="0.2">
      <c r="A1308" t="s">
        <v>3470</v>
      </c>
    </row>
    <row r="1309" spans="1:1" x14ac:dyDescent="0.2">
      <c r="A1309" t="s">
        <v>3471</v>
      </c>
    </row>
    <row r="1310" spans="1:1" x14ac:dyDescent="0.2">
      <c r="A1310" t="s">
        <v>3472</v>
      </c>
    </row>
    <row r="1311" spans="1:1" x14ac:dyDescent="0.2">
      <c r="A1311" t="s">
        <v>3473</v>
      </c>
    </row>
    <row r="1312" spans="1:1" x14ac:dyDescent="0.2">
      <c r="A1312" t="s">
        <v>3474</v>
      </c>
    </row>
    <row r="1313" spans="1:1" x14ac:dyDescent="0.2">
      <c r="A1313" t="s">
        <v>3475</v>
      </c>
    </row>
    <row r="1314" spans="1:1" x14ac:dyDescent="0.2">
      <c r="A1314" t="s">
        <v>3476</v>
      </c>
    </row>
    <row r="1315" spans="1:1" x14ac:dyDescent="0.2">
      <c r="A1315" t="s">
        <v>3477</v>
      </c>
    </row>
    <row r="1316" spans="1:1" x14ac:dyDescent="0.2">
      <c r="A1316" t="s">
        <v>3478</v>
      </c>
    </row>
    <row r="1317" spans="1:1" x14ac:dyDescent="0.2">
      <c r="A1317" t="s">
        <v>3479</v>
      </c>
    </row>
    <row r="1318" spans="1:1" x14ac:dyDescent="0.2">
      <c r="A1318" t="s">
        <v>3480</v>
      </c>
    </row>
    <row r="1319" spans="1:1" x14ac:dyDescent="0.2">
      <c r="A1319" t="s">
        <v>3481</v>
      </c>
    </row>
    <row r="1320" spans="1:1" x14ac:dyDescent="0.2">
      <c r="A1320" t="s">
        <v>3482</v>
      </c>
    </row>
    <row r="1321" spans="1:1" x14ac:dyDescent="0.2">
      <c r="A1321" t="s">
        <v>3483</v>
      </c>
    </row>
    <row r="1322" spans="1:1" x14ac:dyDescent="0.2">
      <c r="A1322" t="s">
        <v>3484</v>
      </c>
    </row>
    <row r="1323" spans="1:1" x14ac:dyDescent="0.2">
      <c r="A1323" t="s">
        <v>3485</v>
      </c>
    </row>
    <row r="1324" spans="1:1" x14ac:dyDescent="0.2">
      <c r="A1324" t="s">
        <v>3486</v>
      </c>
    </row>
    <row r="1325" spans="1:1" x14ac:dyDescent="0.2">
      <c r="A1325" t="s">
        <v>3487</v>
      </c>
    </row>
    <row r="1326" spans="1:1" x14ac:dyDescent="0.2">
      <c r="A1326" t="s">
        <v>3488</v>
      </c>
    </row>
    <row r="1327" spans="1:1" x14ac:dyDescent="0.2">
      <c r="A1327" t="s">
        <v>3489</v>
      </c>
    </row>
    <row r="1328" spans="1:1" x14ac:dyDescent="0.2">
      <c r="A1328" t="s">
        <v>3490</v>
      </c>
    </row>
    <row r="1329" spans="1:1" x14ac:dyDescent="0.2">
      <c r="A1329" t="s">
        <v>3491</v>
      </c>
    </row>
    <row r="1330" spans="1:1" x14ac:dyDescent="0.2">
      <c r="A1330" t="s">
        <v>3492</v>
      </c>
    </row>
    <row r="1331" spans="1:1" x14ac:dyDescent="0.2">
      <c r="A1331" t="s">
        <v>3493</v>
      </c>
    </row>
    <row r="1332" spans="1:1" x14ac:dyDescent="0.2">
      <c r="A1332" t="s">
        <v>3494</v>
      </c>
    </row>
    <row r="1333" spans="1:1" x14ac:dyDescent="0.2">
      <c r="A1333" t="s">
        <v>3495</v>
      </c>
    </row>
    <row r="1334" spans="1:1" x14ac:dyDescent="0.2">
      <c r="A1334" t="s">
        <v>3496</v>
      </c>
    </row>
    <row r="1335" spans="1:1" x14ac:dyDescent="0.2">
      <c r="A1335" t="s">
        <v>3497</v>
      </c>
    </row>
    <row r="1336" spans="1:1" x14ac:dyDescent="0.2">
      <c r="A1336" t="s">
        <v>3498</v>
      </c>
    </row>
    <row r="1337" spans="1:1" x14ac:dyDescent="0.2">
      <c r="A1337" t="s">
        <v>3499</v>
      </c>
    </row>
    <row r="1338" spans="1:1" x14ac:dyDescent="0.2">
      <c r="A1338" t="s">
        <v>3500</v>
      </c>
    </row>
    <row r="1339" spans="1:1" x14ac:dyDescent="0.2">
      <c r="A1339" t="s">
        <v>3501</v>
      </c>
    </row>
    <row r="1340" spans="1:1" x14ac:dyDescent="0.2">
      <c r="A1340" t="s">
        <v>3502</v>
      </c>
    </row>
    <row r="1341" spans="1:1" x14ac:dyDescent="0.2">
      <c r="A1341" t="s">
        <v>3503</v>
      </c>
    </row>
    <row r="1342" spans="1:1" x14ac:dyDescent="0.2">
      <c r="A1342" t="s">
        <v>3504</v>
      </c>
    </row>
    <row r="1343" spans="1:1" x14ac:dyDescent="0.2">
      <c r="A1343" t="s">
        <v>3505</v>
      </c>
    </row>
    <row r="1344" spans="1:1" x14ac:dyDescent="0.2">
      <c r="A1344" t="s">
        <v>3506</v>
      </c>
    </row>
    <row r="1345" spans="1:1" x14ac:dyDescent="0.2">
      <c r="A1345" t="s">
        <v>3507</v>
      </c>
    </row>
    <row r="1346" spans="1:1" x14ac:dyDescent="0.2">
      <c r="A1346" t="s">
        <v>3508</v>
      </c>
    </row>
    <row r="1347" spans="1:1" x14ac:dyDescent="0.2">
      <c r="A1347" t="s">
        <v>3509</v>
      </c>
    </row>
    <row r="1348" spans="1:1" x14ac:dyDescent="0.2">
      <c r="A1348" t="s">
        <v>3510</v>
      </c>
    </row>
    <row r="1349" spans="1:1" x14ac:dyDescent="0.2">
      <c r="A1349" t="s">
        <v>3511</v>
      </c>
    </row>
    <row r="1350" spans="1:1" x14ac:dyDescent="0.2">
      <c r="A1350" t="s">
        <v>3512</v>
      </c>
    </row>
    <row r="1351" spans="1:1" x14ac:dyDescent="0.2">
      <c r="A1351" t="s">
        <v>3513</v>
      </c>
    </row>
    <row r="1352" spans="1:1" x14ac:dyDescent="0.2">
      <c r="A1352" t="s">
        <v>3514</v>
      </c>
    </row>
    <row r="1353" spans="1:1" x14ac:dyDescent="0.2">
      <c r="A1353" t="s">
        <v>3515</v>
      </c>
    </row>
    <row r="1354" spans="1:1" x14ac:dyDescent="0.2">
      <c r="A1354" t="s">
        <v>3516</v>
      </c>
    </row>
    <row r="1355" spans="1:1" x14ac:dyDescent="0.2">
      <c r="A1355" t="s">
        <v>3517</v>
      </c>
    </row>
    <row r="1356" spans="1:1" x14ac:dyDescent="0.2">
      <c r="A1356" t="s">
        <v>3518</v>
      </c>
    </row>
    <row r="1357" spans="1:1" x14ac:dyDescent="0.2">
      <c r="A1357" t="s">
        <v>3519</v>
      </c>
    </row>
    <row r="1358" spans="1:1" x14ac:dyDescent="0.2">
      <c r="A1358" t="s">
        <v>3520</v>
      </c>
    </row>
    <row r="1359" spans="1:1" x14ac:dyDescent="0.2">
      <c r="A1359" t="s">
        <v>3521</v>
      </c>
    </row>
    <row r="1360" spans="1:1" x14ac:dyDescent="0.2">
      <c r="A1360" t="s">
        <v>3522</v>
      </c>
    </row>
    <row r="1361" spans="1:1" x14ac:dyDescent="0.2">
      <c r="A1361" t="s">
        <v>3523</v>
      </c>
    </row>
    <row r="1362" spans="1:1" x14ac:dyDescent="0.2">
      <c r="A1362" t="s">
        <v>3524</v>
      </c>
    </row>
    <row r="1363" spans="1:1" x14ac:dyDescent="0.2">
      <c r="A1363" t="s">
        <v>3525</v>
      </c>
    </row>
    <row r="1364" spans="1:1" x14ac:dyDescent="0.2">
      <c r="A1364" t="s">
        <v>3526</v>
      </c>
    </row>
    <row r="1365" spans="1:1" x14ac:dyDescent="0.2">
      <c r="A1365" t="s">
        <v>3527</v>
      </c>
    </row>
    <row r="1366" spans="1:1" x14ac:dyDescent="0.2">
      <c r="A1366" t="s">
        <v>3528</v>
      </c>
    </row>
    <row r="1367" spans="1:1" x14ac:dyDescent="0.2">
      <c r="A1367" t="s">
        <v>3529</v>
      </c>
    </row>
    <row r="1368" spans="1:1" x14ac:dyDescent="0.2">
      <c r="A1368" t="s">
        <v>3530</v>
      </c>
    </row>
    <row r="1369" spans="1:1" x14ac:dyDescent="0.2">
      <c r="A1369" t="s">
        <v>3531</v>
      </c>
    </row>
    <row r="1370" spans="1:1" x14ac:dyDescent="0.2">
      <c r="A1370" t="s">
        <v>3532</v>
      </c>
    </row>
    <row r="1371" spans="1:1" x14ac:dyDescent="0.2">
      <c r="A1371" t="s">
        <v>3533</v>
      </c>
    </row>
    <row r="1372" spans="1:1" x14ac:dyDescent="0.2">
      <c r="A1372" t="s">
        <v>3534</v>
      </c>
    </row>
    <row r="1373" spans="1:1" x14ac:dyDescent="0.2">
      <c r="A1373" t="s">
        <v>3535</v>
      </c>
    </row>
    <row r="1374" spans="1:1" x14ac:dyDescent="0.2">
      <c r="A1374" t="s">
        <v>3536</v>
      </c>
    </row>
    <row r="1375" spans="1:1" x14ac:dyDescent="0.2">
      <c r="A1375" t="s">
        <v>3537</v>
      </c>
    </row>
    <row r="1376" spans="1:1" x14ac:dyDescent="0.2">
      <c r="A1376" t="s">
        <v>3538</v>
      </c>
    </row>
    <row r="1377" spans="1:1" x14ac:dyDescent="0.2">
      <c r="A1377" t="s">
        <v>3539</v>
      </c>
    </row>
    <row r="1378" spans="1:1" x14ac:dyDescent="0.2">
      <c r="A1378" t="s">
        <v>3540</v>
      </c>
    </row>
    <row r="1379" spans="1:1" x14ac:dyDescent="0.2">
      <c r="A1379" t="s">
        <v>3541</v>
      </c>
    </row>
    <row r="1380" spans="1:1" x14ac:dyDescent="0.2">
      <c r="A1380" t="s">
        <v>3542</v>
      </c>
    </row>
    <row r="1381" spans="1:1" x14ac:dyDescent="0.2">
      <c r="A1381" t="s">
        <v>3543</v>
      </c>
    </row>
    <row r="1382" spans="1:1" x14ac:dyDescent="0.2">
      <c r="A1382" t="s">
        <v>3544</v>
      </c>
    </row>
    <row r="1383" spans="1:1" x14ac:dyDescent="0.2">
      <c r="A1383" t="s">
        <v>3545</v>
      </c>
    </row>
    <row r="1384" spans="1:1" x14ac:dyDescent="0.2">
      <c r="A1384" t="s">
        <v>3546</v>
      </c>
    </row>
    <row r="1385" spans="1:1" x14ac:dyDescent="0.2">
      <c r="A1385" t="s">
        <v>3547</v>
      </c>
    </row>
    <row r="1386" spans="1:1" x14ac:dyDescent="0.2">
      <c r="A1386" t="s">
        <v>3548</v>
      </c>
    </row>
    <row r="1387" spans="1:1" x14ac:dyDescent="0.2">
      <c r="A1387" t="s">
        <v>3549</v>
      </c>
    </row>
    <row r="1388" spans="1:1" x14ac:dyDescent="0.2">
      <c r="A1388" t="s">
        <v>3550</v>
      </c>
    </row>
    <row r="1389" spans="1:1" x14ac:dyDescent="0.2">
      <c r="A1389" t="s">
        <v>3551</v>
      </c>
    </row>
    <row r="1390" spans="1:1" x14ac:dyDescent="0.2">
      <c r="A1390" t="s">
        <v>3552</v>
      </c>
    </row>
    <row r="1391" spans="1:1" x14ac:dyDescent="0.2">
      <c r="A1391" t="s">
        <v>3553</v>
      </c>
    </row>
    <row r="1392" spans="1:1" x14ac:dyDescent="0.2">
      <c r="A1392" t="s">
        <v>3554</v>
      </c>
    </row>
    <row r="1393" spans="1:1" x14ac:dyDescent="0.2">
      <c r="A1393" t="s">
        <v>3555</v>
      </c>
    </row>
    <row r="1394" spans="1:1" x14ac:dyDescent="0.2">
      <c r="A1394" t="s">
        <v>3556</v>
      </c>
    </row>
    <row r="1395" spans="1:1" x14ac:dyDescent="0.2">
      <c r="A1395" t="s">
        <v>3557</v>
      </c>
    </row>
    <row r="1396" spans="1:1" x14ac:dyDescent="0.2">
      <c r="A1396" t="s">
        <v>3558</v>
      </c>
    </row>
    <row r="1397" spans="1:1" x14ac:dyDescent="0.2">
      <c r="A1397" t="s">
        <v>3559</v>
      </c>
    </row>
    <row r="1398" spans="1:1" x14ac:dyDescent="0.2">
      <c r="A1398" t="s">
        <v>3560</v>
      </c>
    </row>
    <row r="1399" spans="1:1" x14ac:dyDescent="0.2">
      <c r="A1399" t="s">
        <v>3561</v>
      </c>
    </row>
    <row r="1400" spans="1:1" x14ac:dyDescent="0.2">
      <c r="A1400" t="s">
        <v>3562</v>
      </c>
    </row>
    <row r="1401" spans="1:1" x14ac:dyDescent="0.2">
      <c r="A1401" t="s">
        <v>3563</v>
      </c>
    </row>
    <row r="1402" spans="1:1" x14ac:dyDescent="0.2">
      <c r="A1402" t="s">
        <v>3564</v>
      </c>
    </row>
    <row r="1403" spans="1:1" x14ac:dyDescent="0.2">
      <c r="A1403" t="s">
        <v>3565</v>
      </c>
    </row>
    <row r="1404" spans="1:1" x14ac:dyDescent="0.2">
      <c r="A1404" t="s">
        <v>3566</v>
      </c>
    </row>
    <row r="1405" spans="1:1" x14ac:dyDescent="0.2">
      <c r="A1405" t="s">
        <v>3567</v>
      </c>
    </row>
    <row r="1406" spans="1:1" x14ac:dyDescent="0.2">
      <c r="A1406" t="s">
        <v>3568</v>
      </c>
    </row>
    <row r="1407" spans="1:1" x14ac:dyDescent="0.2">
      <c r="A1407" t="s">
        <v>3569</v>
      </c>
    </row>
    <row r="1408" spans="1:1" x14ac:dyDescent="0.2">
      <c r="A1408" t="s">
        <v>3570</v>
      </c>
    </row>
    <row r="1409" spans="1:1" x14ac:dyDescent="0.2">
      <c r="A1409" t="s">
        <v>3571</v>
      </c>
    </row>
    <row r="1410" spans="1:1" x14ac:dyDescent="0.2">
      <c r="A1410" t="s">
        <v>3572</v>
      </c>
    </row>
    <row r="1411" spans="1:1" x14ac:dyDescent="0.2">
      <c r="A1411" t="s">
        <v>3573</v>
      </c>
    </row>
    <row r="1412" spans="1:1" x14ac:dyDescent="0.2">
      <c r="A1412" t="s">
        <v>3574</v>
      </c>
    </row>
    <row r="1413" spans="1:1" x14ac:dyDescent="0.2">
      <c r="A1413" t="s">
        <v>3575</v>
      </c>
    </row>
    <row r="1414" spans="1:1" x14ac:dyDescent="0.2">
      <c r="A1414" t="s">
        <v>3576</v>
      </c>
    </row>
    <row r="1415" spans="1:1" x14ac:dyDescent="0.2">
      <c r="A1415" t="s">
        <v>3577</v>
      </c>
    </row>
    <row r="1416" spans="1:1" x14ac:dyDescent="0.2">
      <c r="A1416" t="s">
        <v>3578</v>
      </c>
    </row>
    <row r="1417" spans="1:1" x14ac:dyDescent="0.2">
      <c r="A1417" t="s">
        <v>3579</v>
      </c>
    </row>
    <row r="1418" spans="1:1" x14ac:dyDescent="0.2">
      <c r="A1418" t="s">
        <v>3580</v>
      </c>
    </row>
    <row r="1419" spans="1:1" x14ac:dyDescent="0.2">
      <c r="A1419" t="s">
        <v>3581</v>
      </c>
    </row>
    <row r="1420" spans="1:1" x14ac:dyDescent="0.2">
      <c r="A1420" t="s">
        <v>3582</v>
      </c>
    </row>
    <row r="1421" spans="1:1" x14ac:dyDescent="0.2">
      <c r="A1421" t="s">
        <v>3583</v>
      </c>
    </row>
    <row r="1422" spans="1:1" x14ac:dyDescent="0.2">
      <c r="A1422" t="s">
        <v>3584</v>
      </c>
    </row>
    <row r="1423" spans="1:1" x14ac:dyDescent="0.2">
      <c r="A1423" t="s">
        <v>3585</v>
      </c>
    </row>
    <row r="1424" spans="1:1" x14ac:dyDescent="0.2">
      <c r="A1424" t="s">
        <v>3586</v>
      </c>
    </row>
    <row r="1425" spans="1:1" x14ac:dyDescent="0.2">
      <c r="A1425" t="s">
        <v>3587</v>
      </c>
    </row>
    <row r="1426" spans="1:1" x14ac:dyDescent="0.2">
      <c r="A1426" t="s">
        <v>3588</v>
      </c>
    </row>
    <row r="1427" spans="1:1" x14ac:dyDescent="0.2">
      <c r="A1427" t="s">
        <v>3589</v>
      </c>
    </row>
    <row r="1428" spans="1:1" x14ac:dyDescent="0.2">
      <c r="A1428" t="s">
        <v>3590</v>
      </c>
    </row>
    <row r="1429" spans="1:1" x14ac:dyDescent="0.2">
      <c r="A1429" t="s">
        <v>3591</v>
      </c>
    </row>
    <row r="1430" spans="1:1" x14ac:dyDescent="0.2">
      <c r="A1430" t="s">
        <v>3592</v>
      </c>
    </row>
    <row r="1431" spans="1:1" x14ac:dyDescent="0.2">
      <c r="A1431" t="s">
        <v>3593</v>
      </c>
    </row>
    <row r="1432" spans="1:1" x14ac:dyDescent="0.2">
      <c r="A1432" t="s">
        <v>3594</v>
      </c>
    </row>
    <row r="1433" spans="1:1" x14ac:dyDescent="0.2">
      <c r="A1433" t="s">
        <v>3595</v>
      </c>
    </row>
    <row r="1434" spans="1:1" x14ac:dyDescent="0.2">
      <c r="A1434" t="s">
        <v>3596</v>
      </c>
    </row>
    <row r="1435" spans="1:1" x14ac:dyDescent="0.2">
      <c r="A1435" t="s">
        <v>3597</v>
      </c>
    </row>
    <row r="1436" spans="1:1" x14ac:dyDescent="0.2">
      <c r="A1436" t="s">
        <v>3598</v>
      </c>
    </row>
    <row r="1437" spans="1:1" x14ac:dyDescent="0.2">
      <c r="A1437" t="s">
        <v>3599</v>
      </c>
    </row>
    <row r="1438" spans="1:1" x14ac:dyDescent="0.2">
      <c r="A1438" t="s">
        <v>3600</v>
      </c>
    </row>
    <row r="1439" spans="1:1" x14ac:dyDescent="0.2">
      <c r="A1439" t="s">
        <v>3601</v>
      </c>
    </row>
    <row r="1440" spans="1:1" x14ac:dyDescent="0.2">
      <c r="A1440" t="s">
        <v>3602</v>
      </c>
    </row>
    <row r="1441" spans="1:1" x14ac:dyDescent="0.2">
      <c r="A1441" t="s">
        <v>3603</v>
      </c>
    </row>
    <row r="1442" spans="1:1" x14ac:dyDescent="0.2">
      <c r="A1442" t="s">
        <v>3604</v>
      </c>
    </row>
    <row r="1443" spans="1:1" x14ac:dyDescent="0.2">
      <c r="A1443" t="s">
        <v>3605</v>
      </c>
    </row>
    <row r="1444" spans="1:1" x14ac:dyDescent="0.2">
      <c r="A1444" t="s">
        <v>3606</v>
      </c>
    </row>
    <row r="1445" spans="1:1" x14ac:dyDescent="0.2">
      <c r="A1445" t="s">
        <v>3607</v>
      </c>
    </row>
    <row r="1446" spans="1:1" x14ac:dyDescent="0.2">
      <c r="A1446" t="s">
        <v>3608</v>
      </c>
    </row>
    <row r="1447" spans="1:1" x14ac:dyDescent="0.2">
      <c r="A1447" t="s">
        <v>3609</v>
      </c>
    </row>
    <row r="1448" spans="1:1" x14ac:dyDescent="0.2">
      <c r="A1448" t="s">
        <v>3610</v>
      </c>
    </row>
    <row r="1449" spans="1:1" x14ac:dyDescent="0.2">
      <c r="A1449" t="s">
        <v>3611</v>
      </c>
    </row>
    <row r="1450" spans="1:1" x14ac:dyDescent="0.2">
      <c r="A1450" t="s">
        <v>3612</v>
      </c>
    </row>
    <row r="1451" spans="1:1" x14ac:dyDescent="0.2">
      <c r="A1451" t="s">
        <v>3613</v>
      </c>
    </row>
    <row r="1452" spans="1:1" x14ac:dyDescent="0.2">
      <c r="A1452" t="s">
        <v>3614</v>
      </c>
    </row>
    <row r="1453" spans="1:1" x14ac:dyDescent="0.2">
      <c r="A1453" t="s">
        <v>3615</v>
      </c>
    </row>
    <row r="1454" spans="1:1" x14ac:dyDescent="0.2">
      <c r="A1454" t="s">
        <v>3616</v>
      </c>
    </row>
    <row r="1455" spans="1:1" x14ac:dyDescent="0.2">
      <c r="A1455" t="s">
        <v>3617</v>
      </c>
    </row>
    <row r="1456" spans="1:1" x14ac:dyDescent="0.2">
      <c r="A1456" t="s">
        <v>3618</v>
      </c>
    </row>
    <row r="1457" spans="1:1" x14ac:dyDescent="0.2">
      <c r="A1457" t="s">
        <v>3619</v>
      </c>
    </row>
    <row r="1458" spans="1:1" x14ac:dyDescent="0.2">
      <c r="A1458" t="s">
        <v>3620</v>
      </c>
    </row>
    <row r="1459" spans="1:1" x14ac:dyDescent="0.2">
      <c r="A1459" t="s">
        <v>3621</v>
      </c>
    </row>
    <row r="1460" spans="1:1" x14ac:dyDescent="0.2">
      <c r="A1460" t="s">
        <v>3622</v>
      </c>
    </row>
    <row r="1461" spans="1:1" x14ac:dyDescent="0.2">
      <c r="A1461" t="s">
        <v>3623</v>
      </c>
    </row>
    <row r="1462" spans="1:1" x14ac:dyDescent="0.2">
      <c r="A1462" t="s">
        <v>3624</v>
      </c>
    </row>
    <row r="1463" spans="1:1" x14ac:dyDescent="0.2">
      <c r="A1463" t="s">
        <v>3625</v>
      </c>
    </row>
    <row r="1464" spans="1:1" x14ac:dyDescent="0.2">
      <c r="A1464" t="s">
        <v>3626</v>
      </c>
    </row>
    <row r="1465" spans="1:1" x14ac:dyDescent="0.2">
      <c r="A1465" t="s">
        <v>3627</v>
      </c>
    </row>
    <row r="1466" spans="1:1" x14ac:dyDescent="0.2">
      <c r="A1466" t="s">
        <v>3628</v>
      </c>
    </row>
    <row r="1467" spans="1:1" x14ac:dyDescent="0.2">
      <c r="A1467" t="s">
        <v>3629</v>
      </c>
    </row>
    <row r="1468" spans="1:1" x14ac:dyDescent="0.2">
      <c r="A1468" t="s">
        <v>3630</v>
      </c>
    </row>
    <row r="1469" spans="1:1" x14ac:dyDescent="0.2">
      <c r="A1469" t="s">
        <v>3631</v>
      </c>
    </row>
    <row r="1470" spans="1:1" x14ac:dyDescent="0.2">
      <c r="A1470" t="s">
        <v>3632</v>
      </c>
    </row>
    <row r="1471" spans="1:1" x14ac:dyDescent="0.2">
      <c r="A1471" t="s">
        <v>3633</v>
      </c>
    </row>
    <row r="1472" spans="1:1" x14ac:dyDescent="0.2">
      <c r="A1472" t="s">
        <v>3634</v>
      </c>
    </row>
    <row r="1473" spans="1:1" x14ac:dyDescent="0.2">
      <c r="A1473" t="s">
        <v>3635</v>
      </c>
    </row>
    <row r="1474" spans="1:1" x14ac:dyDescent="0.2">
      <c r="A1474" t="s">
        <v>3636</v>
      </c>
    </row>
    <row r="1475" spans="1:1" x14ac:dyDescent="0.2">
      <c r="A1475" t="s">
        <v>3637</v>
      </c>
    </row>
    <row r="1476" spans="1:1" x14ac:dyDescent="0.2">
      <c r="A1476" t="s">
        <v>3638</v>
      </c>
    </row>
    <row r="1477" spans="1:1" x14ac:dyDescent="0.2">
      <c r="A1477" t="s">
        <v>3639</v>
      </c>
    </row>
    <row r="1478" spans="1:1" x14ac:dyDescent="0.2">
      <c r="A1478" t="s">
        <v>3640</v>
      </c>
    </row>
    <row r="1479" spans="1:1" x14ac:dyDescent="0.2">
      <c r="A1479" t="s">
        <v>3641</v>
      </c>
    </row>
    <row r="1480" spans="1:1" x14ac:dyDescent="0.2">
      <c r="A1480" t="s">
        <v>3642</v>
      </c>
    </row>
    <row r="1481" spans="1:1" x14ac:dyDescent="0.2">
      <c r="A1481" t="s">
        <v>3643</v>
      </c>
    </row>
    <row r="1482" spans="1:1" x14ac:dyDescent="0.2">
      <c r="A1482" t="s">
        <v>3644</v>
      </c>
    </row>
    <row r="1483" spans="1:1" x14ac:dyDescent="0.2">
      <c r="A1483" t="s">
        <v>3645</v>
      </c>
    </row>
    <row r="1484" spans="1:1" x14ac:dyDescent="0.2">
      <c r="A1484" t="s">
        <v>3646</v>
      </c>
    </row>
    <row r="1485" spans="1:1" x14ac:dyDescent="0.2">
      <c r="A1485" t="s">
        <v>3647</v>
      </c>
    </row>
    <row r="1486" spans="1:1" x14ac:dyDescent="0.2">
      <c r="A1486" t="s">
        <v>3648</v>
      </c>
    </row>
    <row r="1487" spans="1:1" x14ac:dyDescent="0.2">
      <c r="A1487" t="s">
        <v>3649</v>
      </c>
    </row>
    <row r="1488" spans="1:1" x14ac:dyDescent="0.2">
      <c r="A1488" t="s">
        <v>3650</v>
      </c>
    </row>
    <row r="1489" spans="1:1" x14ac:dyDescent="0.2">
      <c r="A1489" t="s">
        <v>3651</v>
      </c>
    </row>
    <row r="1490" spans="1:1" x14ac:dyDescent="0.2">
      <c r="A1490" t="s">
        <v>3652</v>
      </c>
    </row>
    <row r="1491" spans="1:1" x14ac:dyDescent="0.2">
      <c r="A1491" t="s">
        <v>3653</v>
      </c>
    </row>
    <row r="1492" spans="1:1" x14ac:dyDescent="0.2">
      <c r="A1492" t="s">
        <v>3654</v>
      </c>
    </row>
    <row r="1493" spans="1:1" x14ac:dyDescent="0.2">
      <c r="A1493" t="s">
        <v>3655</v>
      </c>
    </row>
    <row r="1494" spans="1:1" x14ac:dyDescent="0.2">
      <c r="A1494" t="s">
        <v>3656</v>
      </c>
    </row>
    <row r="1495" spans="1:1" x14ac:dyDescent="0.2">
      <c r="A1495" t="s">
        <v>3657</v>
      </c>
    </row>
    <row r="1496" spans="1:1" x14ac:dyDescent="0.2">
      <c r="A1496" t="s">
        <v>3658</v>
      </c>
    </row>
    <row r="1497" spans="1:1" x14ac:dyDescent="0.2">
      <c r="A1497" t="s">
        <v>3659</v>
      </c>
    </row>
    <row r="1498" spans="1:1" x14ac:dyDescent="0.2">
      <c r="A1498" t="s">
        <v>3660</v>
      </c>
    </row>
    <row r="1499" spans="1:1" x14ac:dyDescent="0.2">
      <c r="A1499" t="s">
        <v>3661</v>
      </c>
    </row>
    <row r="1500" spans="1:1" x14ac:dyDescent="0.2">
      <c r="A1500" t="s">
        <v>3662</v>
      </c>
    </row>
    <row r="1501" spans="1:1" x14ac:dyDescent="0.2">
      <c r="A1501" t="s">
        <v>3663</v>
      </c>
    </row>
    <row r="1502" spans="1:1" x14ac:dyDescent="0.2">
      <c r="A1502" t="s">
        <v>3664</v>
      </c>
    </row>
    <row r="1503" spans="1:1" x14ac:dyDescent="0.2">
      <c r="A1503" t="s">
        <v>3665</v>
      </c>
    </row>
    <row r="1504" spans="1:1" x14ac:dyDescent="0.2">
      <c r="A1504" t="s">
        <v>3666</v>
      </c>
    </row>
    <row r="1505" spans="1:1" x14ac:dyDescent="0.2">
      <c r="A1505" t="s">
        <v>3667</v>
      </c>
    </row>
    <row r="1506" spans="1:1" x14ac:dyDescent="0.2">
      <c r="A1506" t="s">
        <v>3668</v>
      </c>
    </row>
    <row r="1507" spans="1:1" x14ac:dyDescent="0.2">
      <c r="A1507" t="s">
        <v>3669</v>
      </c>
    </row>
    <row r="1508" spans="1:1" x14ac:dyDescent="0.2">
      <c r="A1508" t="s">
        <v>3670</v>
      </c>
    </row>
    <row r="1509" spans="1:1" x14ac:dyDescent="0.2">
      <c r="A1509" t="s">
        <v>3671</v>
      </c>
    </row>
    <row r="1510" spans="1:1" x14ac:dyDescent="0.2">
      <c r="A1510" t="s">
        <v>3672</v>
      </c>
    </row>
    <row r="1511" spans="1:1" x14ac:dyDescent="0.2">
      <c r="A1511" t="s">
        <v>3673</v>
      </c>
    </row>
    <row r="1512" spans="1:1" x14ac:dyDescent="0.2">
      <c r="A1512" t="s">
        <v>3674</v>
      </c>
    </row>
    <row r="1513" spans="1:1" x14ac:dyDescent="0.2">
      <c r="A1513" t="s">
        <v>3675</v>
      </c>
    </row>
    <row r="1514" spans="1:1" x14ac:dyDescent="0.2">
      <c r="A1514" t="s">
        <v>3676</v>
      </c>
    </row>
    <row r="1515" spans="1:1" x14ac:dyDescent="0.2">
      <c r="A1515" t="s">
        <v>3677</v>
      </c>
    </row>
    <row r="1516" spans="1:1" x14ac:dyDescent="0.2">
      <c r="A1516" t="s">
        <v>3678</v>
      </c>
    </row>
    <row r="1517" spans="1:1" x14ac:dyDescent="0.2">
      <c r="A1517" t="s">
        <v>3679</v>
      </c>
    </row>
    <row r="1518" spans="1:1" x14ac:dyDescent="0.2">
      <c r="A1518" t="s">
        <v>3680</v>
      </c>
    </row>
    <row r="1519" spans="1:1" x14ac:dyDescent="0.2">
      <c r="A1519" t="s">
        <v>3681</v>
      </c>
    </row>
    <row r="1520" spans="1:1" x14ac:dyDescent="0.2">
      <c r="A1520" t="s">
        <v>3682</v>
      </c>
    </row>
    <row r="1521" spans="1:1" x14ac:dyDescent="0.2">
      <c r="A1521" t="s">
        <v>3683</v>
      </c>
    </row>
    <row r="1522" spans="1:1" x14ac:dyDescent="0.2">
      <c r="A1522" t="s">
        <v>3684</v>
      </c>
    </row>
    <row r="1523" spans="1:1" x14ac:dyDescent="0.2">
      <c r="A1523" t="s">
        <v>3685</v>
      </c>
    </row>
    <row r="1524" spans="1:1" x14ac:dyDescent="0.2">
      <c r="A1524" t="s">
        <v>3686</v>
      </c>
    </row>
    <row r="1525" spans="1:1" x14ac:dyDescent="0.2">
      <c r="A1525" t="s">
        <v>3687</v>
      </c>
    </row>
    <row r="1526" spans="1:1" x14ac:dyDescent="0.2">
      <c r="A1526" t="s">
        <v>3688</v>
      </c>
    </row>
    <row r="1527" spans="1:1" x14ac:dyDescent="0.2">
      <c r="A1527" t="s">
        <v>3689</v>
      </c>
    </row>
    <row r="1528" spans="1:1" x14ac:dyDescent="0.2">
      <c r="A1528" t="s">
        <v>3690</v>
      </c>
    </row>
    <row r="1529" spans="1:1" x14ac:dyDescent="0.2">
      <c r="A1529" t="s">
        <v>3691</v>
      </c>
    </row>
    <row r="1530" spans="1:1" x14ac:dyDescent="0.2">
      <c r="A1530" t="s">
        <v>3692</v>
      </c>
    </row>
    <row r="1531" spans="1:1" x14ac:dyDescent="0.2">
      <c r="A1531" t="s">
        <v>3693</v>
      </c>
    </row>
    <row r="1532" spans="1:1" x14ac:dyDescent="0.2">
      <c r="A1532" t="s">
        <v>3694</v>
      </c>
    </row>
    <row r="1533" spans="1:1" x14ac:dyDescent="0.2">
      <c r="A1533" t="s">
        <v>3695</v>
      </c>
    </row>
    <row r="1534" spans="1:1" x14ac:dyDescent="0.2">
      <c r="A1534" t="s">
        <v>3696</v>
      </c>
    </row>
    <row r="1535" spans="1:1" x14ac:dyDescent="0.2">
      <c r="A1535" t="s">
        <v>3697</v>
      </c>
    </row>
    <row r="1536" spans="1:1" x14ac:dyDescent="0.2">
      <c r="A1536" t="s">
        <v>3698</v>
      </c>
    </row>
    <row r="1537" spans="1:1" x14ac:dyDescent="0.2">
      <c r="A1537" t="s">
        <v>3699</v>
      </c>
    </row>
    <row r="1538" spans="1:1" x14ac:dyDescent="0.2">
      <c r="A1538" t="s">
        <v>3700</v>
      </c>
    </row>
    <row r="1539" spans="1:1" x14ac:dyDescent="0.2">
      <c r="A1539" t="s">
        <v>3701</v>
      </c>
    </row>
    <row r="1540" spans="1:1" x14ac:dyDescent="0.2">
      <c r="A1540" t="s">
        <v>3702</v>
      </c>
    </row>
    <row r="1541" spans="1:1" x14ac:dyDescent="0.2">
      <c r="A1541" t="s">
        <v>3703</v>
      </c>
    </row>
    <row r="1542" spans="1:1" x14ac:dyDescent="0.2">
      <c r="A1542" t="s">
        <v>3704</v>
      </c>
    </row>
    <row r="1543" spans="1:1" x14ac:dyDescent="0.2">
      <c r="A1543" t="s">
        <v>3705</v>
      </c>
    </row>
    <row r="1544" spans="1:1" x14ac:dyDescent="0.2">
      <c r="A1544" t="s">
        <v>3706</v>
      </c>
    </row>
    <row r="1545" spans="1:1" x14ac:dyDescent="0.2">
      <c r="A1545" t="s">
        <v>3707</v>
      </c>
    </row>
    <row r="1546" spans="1:1" x14ac:dyDescent="0.2">
      <c r="A1546" t="s">
        <v>3708</v>
      </c>
    </row>
    <row r="1547" spans="1:1" x14ac:dyDescent="0.2">
      <c r="A1547" t="s">
        <v>3709</v>
      </c>
    </row>
    <row r="1548" spans="1:1" x14ac:dyDescent="0.2">
      <c r="A1548" t="s">
        <v>3710</v>
      </c>
    </row>
    <row r="1549" spans="1:1" x14ac:dyDescent="0.2">
      <c r="A1549" t="s">
        <v>3711</v>
      </c>
    </row>
    <row r="1550" spans="1:1" x14ac:dyDescent="0.2">
      <c r="A1550" t="s">
        <v>3712</v>
      </c>
    </row>
    <row r="1551" spans="1:1" x14ac:dyDescent="0.2">
      <c r="A1551" t="s">
        <v>3713</v>
      </c>
    </row>
    <row r="1552" spans="1:1" x14ac:dyDescent="0.2">
      <c r="A1552" t="s">
        <v>3714</v>
      </c>
    </row>
    <row r="1553" spans="1:1" x14ac:dyDescent="0.2">
      <c r="A1553" t="s">
        <v>3715</v>
      </c>
    </row>
    <row r="1554" spans="1:1" x14ac:dyDescent="0.2">
      <c r="A1554" t="s">
        <v>3716</v>
      </c>
    </row>
    <row r="1555" spans="1:1" x14ac:dyDescent="0.2">
      <c r="A1555" t="s">
        <v>3717</v>
      </c>
    </row>
    <row r="1556" spans="1:1" x14ac:dyDescent="0.2">
      <c r="A1556" t="s">
        <v>3718</v>
      </c>
    </row>
    <row r="1557" spans="1:1" x14ac:dyDescent="0.2">
      <c r="A1557" t="s">
        <v>3719</v>
      </c>
    </row>
    <row r="1558" spans="1:1" x14ac:dyDescent="0.2">
      <c r="A1558" t="s">
        <v>3720</v>
      </c>
    </row>
    <row r="1559" spans="1:1" x14ac:dyDescent="0.2">
      <c r="A1559" t="s">
        <v>3721</v>
      </c>
    </row>
    <row r="1560" spans="1:1" x14ac:dyDescent="0.2">
      <c r="A1560" t="s">
        <v>3722</v>
      </c>
    </row>
    <row r="1561" spans="1:1" x14ac:dyDescent="0.2">
      <c r="A1561" t="s">
        <v>3723</v>
      </c>
    </row>
    <row r="1562" spans="1:1" x14ac:dyDescent="0.2">
      <c r="A1562" t="s">
        <v>3724</v>
      </c>
    </row>
    <row r="1563" spans="1:1" x14ac:dyDescent="0.2">
      <c r="A1563" t="s">
        <v>3725</v>
      </c>
    </row>
    <row r="1564" spans="1:1" x14ac:dyDescent="0.2">
      <c r="A1564" t="s">
        <v>3726</v>
      </c>
    </row>
    <row r="1565" spans="1:1" x14ac:dyDescent="0.2">
      <c r="A1565" t="s">
        <v>3727</v>
      </c>
    </row>
    <row r="1566" spans="1:1" x14ac:dyDescent="0.2">
      <c r="A1566" t="s">
        <v>3728</v>
      </c>
    </row>
    <row r="1567" spans="1:1" x14ac:dyDescent="0.2">
      <c r="A1567" t="s">
        <v>3729</v>
      </c>
    </row>
    <row r="1568" spans="1:1" x14ac:dyDescent="0.2">
      <c r="A1568" t="s">
        <v>3730</v>
      </c>
    </row>
    <row r="1569" spans="1:1" x14ac:dyDescent="0.2">
      <c r="A1569" t="s">
        <v>3731</v>
      </c>
    </row>
    <row r="1570" spans="1:1" x14ac:dyDescent="0.2">
      <c r="A1570" t="s">
        <v>3732</v>
      </c>
    </row>
    <row r="1571" spans="1:1" x14ac:dyDescent="0.2">
      <c r="A1571" t="s">
        <v>3733</v>
      </c>
    </row>
    <row r="1572" spans="1:1" x14ac:dyDescent="0.2">
      <c r="A1572" t="s">
        <v>3734</v>
      </c>
    </row>
    <row r="1573" spans="1:1" x14ac:dyDescent="0.2">
      <c r="A1573" t="s">
        <v>3735</v>
      </c>
    </row>
    <row r="1574" spans="1:1" x14ac:dyDescent="0.2">
      <c r="A1574" t="s">
        <v>3736</v>
      </c>
    </row>
    <row r="1575" spans="1:1" x14ac:dyDescent="0.2">
      <c r="A1575" t="s">
        <v>3737</v>
      </c>
    </row>
    <row r="1576" spans="1:1" x14ac:dyDescent="0.2">
      <c r="A1576" t="s">
        <v>3738</v>
      </c>
    </row>
    <row r="1577" spans="1:1" x14ac:dyDescent="0.2">
      <c r="A1577" t="s">
        <v>3739</v>
      </c>
    </row>
    <row r="1578" spans="1:1" x14ac:dyDescent="0.2">
      <c r="A1578" t="s">
        <v>3740</v>
      </c>
    </row>
    <row r="1579" spans="1:1" x14ac:dyDescent="0.2">
      <c r="A1579" t="s">
        <v>3741</v>
      </c>
    </row>
    <row r="1580" spans="1:1" x14ac:dyDescent="0.2">
      <c r="A1580" t="s">
        <v>3742</v>
      </c>
    </row>
    <row r="1581" spans="1:1" x14ac:dyDescent="0.2">
      <c r="A1581" t="s">
        <v>3743</v>
      </c>
    </row>
    <row r="1582" spans="1:1" x14ac:dyDescent="0.2">
      <c r="A1582" t="s">
        <v>3744</v>
      </c>
    </row>
    <row r="1583" spans="1:1" x14ac:dyDescent="0.2">
      <c r="A1583" t="s">
        <v>3745</v>
      </c>
    </row>
    <row r="1584" spans="1:1" x14ac:dyDescent="0.2">
      <c r="A1584" t="s">
        <v>3746</v>
      </c>
    </row>
    <row r="1585" spans="1:1" x14ac:dyDescent="0.2">
      <c r="A1585" t="s">
        <v>3747</v>
      </c>
    </row>
    <row r="1586" spans="1:1" x14ac:dyDescent="0.2">
      <c r="A1586" t="s">
        <v>3748</v>
      </c>
    </row>
    <row r="1587" spans="1:1" x14ac:dyDescent="0.2">
      <c r="A1587" t="s">
        <v>3749</v>
      </c>
    </row>
    <row r="1588" spans="1:1" x14ac:dyDescent="0.2">
      <c r="A1588" t="s">
        <v>3750</v>
      </c>
    </row>
    <row r="1589" spans="1:1" x14ac:dyDescent="0.2">
      <c r="A1589" t="s">
        <v>3751</v>
      </c>
    </row>
    <row r="1590" spans="1:1" x14ac:dyDescent="0.2">
      <c r="A1590" t="s">
        <v>3752</v>
      </c>
    </row>
    <row r="1591" spans="1:1" x14ac:dyDescent="0.2">
      <c r="A1591" t="s">
        <v>3753</v>
      </c>
    </row>
    <row r="1592" spans="1:1" x14ac:dyDescent="0.2">
      <c r="A1592" t="s">
        <v>3754</v>
      </c>
    </row>
    <row r="1593" spans="1:1" x14ac:dyDescent="0.2">
      <c r="A1593" t="s">
        <v>3755</v>
      </c>
    </row>
    <row r="1594" spans="1:1" x14ac:dyDescent="0.2">
      <c r="A1594" t="s">
        <v>3756</v>
      </c>
    </row>
    <row r="1595" spans="1:1" x14ac:dyDescent="0.2">
      <c r="A1595" t="s">
        <v>3757</v>
      </c>
    </row>
    <row r="1596" spans="1:1" x14ac:dyDescent="0.2">
      <c r="A1596" t="s">
        <v>3758</v>
      </c>
    </row>
    <row r="1597" spans="1:1" x14ac:dyDescent="0.2">
      <c r="A1597" t="s">
        <v>3759</v>
      </c>
    </row>
    <row r="1598" spans="1:1" x14ac:dyDescent="0.2">
      <c r="A1598" t="s">
        <v>3760</v>
      </c>
    </row>
    <row r="1599" spans="1:1" x14ac:dyDescent="0.2">
      <c r="A1599" t="s">
        <v>3761</v>
      </c>
    </row>
    <row r="1600" spans="1:1" x14ac:dyDescent="0.2">
      <c r="A1600" t="s">
        <v>3762</v>
      </c>
    </row>
    <row r="1601" spans="1:1" x14ac:dyDescent="0.2">
      <c r="A1601" t="s">
        <v>3763</v>
      </c>
    </row>
    <row r="1602" spans="1:1" x14ac:dyDescent="0.2">
      <c r="A1602" t="s">
        <v>3764</v>
      </c>
    </row>
    <row r="1603" spans="1:1" x14ac:dyDescent="0.2">
      <c r="A1603" t="s">
        <v>3765</v>
      </c>
    </row>
    <row r="1604" spans="1:1" x14ac:dyDescent="0.2">
      <c r="A1604" t="s">
        <v>3766</v>
      </c>
    </row>
    <row r="1605" spans="1:1" x14ac:dyDescent="0.2">
      <c r="A1605" t="s">
        <v>3767</v>
      </c>
    </row>
    <row r="1606" spans="1:1" x14ac:dyDescent="0.2">
      <c r="A1606" t="s">
        <v>3768</v>
      </c>
    </row>
    <row r="1607" spans="1:1" x14ac:dyDescent="0.2">
      <c r="A1607" t="s">
        <v>3769</v>
      </c>
    </row>
    <row r="1608" spans="1:1" x14ac:dyDescent="0.2">
      <c r="A1608" t="s">
        <v>3770</v>
      </c>
    </row>
    <row r="1609" spans="1:1" x14ac:dyDescent="0.2">
      <c r="A1609" t="s">
        <v>3771</v>
      </c>
    </row>
    <row r="1610" spans="1:1" x14ac:dyDescent="0.2">
      <c r="A1610" t="s">
        <v>3772</v>
      </c>
    </row>
    <row r="1611" spans="1:1" x14ac:dyDescent="0.2">
      <c r="A1611" t="s">
        <v>3773</v>
      </c>
    </row>
    <row r="1612" spans="1:1" x14ac:dyDescent="0.2">
      <c r="A1612" t="s">
        <v>3774</v>
      </c>
    </row>
    <row r="1613" spans="1:1" x14ac:dyDescent="0.2">
      <c r="A1613" t="s">
        <v>3775</v>
      </c>
    </row>
    <row r="1614" spans="1:1" x14ac:dyDescent="0.2">
      <c r="A1614" t="s">
        <v>3776</v>
      </c>
    </row>
    <row r="1615" spans="1:1" x14ac:dyDescent="0.2">
      <c r="A1615" t="s">
        <v>3777</v>
      </c>
    </row>
    <row r="1616" spans="1:1" x14ac:dyDescent="0.2">
      <c r="A1616" t="s">
        <v>3778</v>
      </c>
    </row>
    <row r="1617" spans="1:1" x14ac:dyDescent="0.2">
      <c r="A1617" t="s">
        <v>3779</v>
      </c>
    </row>
    <row r="1618" spans="1:1" x14ac:dyDescent="0.2">
      <c r="A1618" t="s">
        <v>3780</v>
      </c>
    </row>
    <row r="1619" spans="1:1" x14ac:dyDescent="0.2">
      <c r="A1619" t="s">
        <v>3781</v>
      </c>
    </row>
    <row r="1620" spans="1:1" x14ac:dyDescent="0.2">
      <c r="A1620" t="s">
        <v>3782</v>
      </c>
    </row>
    <row r="1621" spans="1:1" x14ac:dyDescent="0.2">
      <c r="A1621" t="s">
        <v>3783</v>
      </c>
    </row>
    <row r="1622" spans="1:1" x14ac:dyDescent="0.2">
      <c r="A1622" t="s">
        <v>3784</v>
      </c>
    </row>
    <row r="1623" spans="1:1" x14ac:dyDescent="0.2">
      <c r="A1623" t="s">
        <v>3785</v>
      </c>
    </row>
    <row r="1624" spans="1:1" x14ac:dyDescent="0.2">
      <c r="A1624" t="s">
        <v>3786</v>
      </c>
    </row>
    <row r="1625" spans="1:1" x14ac:dyDescent="0.2">
      <c r="A1625" t="s">
        <v>3787</v>
      </c>
    </row>
    <row r="1626" spans="1:1" x14ac:dyDescent="0.2">
      <c r="A1626" t="s">
        <v>3788</v>
      </c>
    </row>
    <row r="1627" spans="1:1" x14ac:dyDescent="0.2">
      <c r="A1627" t="s">
        <v>3789</v>
      </c>
    </row>
    <row r="1628" spans="1:1" x14ac:dyDescent="0.2">
      <c r="A1628" t="s">
        <v>3790</v>
      </c>
    </row>
    <row r="1629" spans="1:1" x14ac:dyDescent="0.2">
      <c r="A1629" t="s">
        <v>3791</v>
      </c>
    </row>
    <row r="1630" spans="1:1" x14ac:dyDescent="0.2">
      <c r="A1630" t="s">
        <v>3792</v>
      </c>
    </row>
    <row r="1631" spans="1:1" x14ac:dyDescent="0.2">
      <c r="A1631" t="s">
        <v>3793</v>
      </c>
    </row>
    <row r="1632" spans="1:1" x14ac:dyDescent="0.2">
      <c r="A1632" t="s">
        <v>3794</v>
      </c>
    </row>
    <row r="1633" spans="1:1" x14ac:dyDescent="0.2">
      <c r="A1633" t="s">
        <v>3795</v>
      </c>
    </row>
    <row r="1634" spans="1:1" x14ac:dyDescent="0.2">
      <c r="A1634" t="s">
        <v>3796</v>
      </c>
    </row>
    <row r="1635" spans="1:1" x14ac:dyDescent="0.2">
      <c r="A1635" t="s">
        <v>3797</v>
      </c>
    </row>
    <row r="1636" spans="1:1" x14ac:dyDescent="0.2">
      <c r="A1636" t="s">
        <v>3798</v>
      </c>
    </row>
    <row r="1637" spans="1:1" x14ac:dyDescent="0.2">
      <c r="A1637" t="s">
        <v>3799</v>
      </c>
    </row>
    <row r="1638" spans="1:1" x14ac:dyDescent="0.2">
      <c r="A1638" t="s">
        <v>3800</v>
      </c>
    </row>
    <row r="1639" spans="1:1" x14ac:dyDescent="0.2">
      <c r="A1639" t="s">
        <v>3801</v>
      </c>
    </row>
    <row r="1640" spans="1:1" x14ac:dyDescent="0.2">
      <c r="A1640" t="s">
        <v>3802</v>
      </c>
    </row>
    <row r="1641" spans="1:1" x14ac:dyDescent="0.2">
      <c r="A1641" t="s">
        <v>3803</v>
      </c>
    </row>
    <row r="1642" spans="1:1" x14ac:dyDescent="0.2">
      <c r="A1642" t="s">
        <v>3804</v>
      </c>
    </row>
    <row r="1643" spans="1:1" x14ac:dyDescent="0.2">
      <c r="A1643" t="s">
        <v>3805</v>
      </c>
    </row>
    <row r="1644" spans="1:1" x14ac:dyDescent="0.2">
      <c r="A1644" t="s">
        <v>3806</v>
      </c>
    </row>
    <row r="1645" spans="1:1" x14ac:dyDescent="0.2">
      <c r="A1645" t="s">
        <v>3807</v>
      </c>
    </row>
    <row r="1646" spans="1:1" x14ac:dyDescent="0.2">
      <c r="A1646" t="s">
        <v>3808</v>
      </c>
    </row>
    <row r="1647" spans="1:1" x14ac:dyDescent="0.2">
      <c r="A1647" t="s">
        <v>3809</v>
      </c>
    </row>
    <row r="1648" spans="1:1" x14ac:dyDescent="0.2">
      <c r="A1648" t="s">
        <v>3810</v>
      </c>
    </row>
    <row r="1649" spans="1:1" x14ac:dyDescent="0.2">
      <c r="A1649" t="s">
        <v>3811</v>
      </c>
    </row>
    <row r="1650" spans="1:1" x14ac:dyDescent="0.2">
      <c r="A1650" t="s">
        <v>3812</v>
      </c>
    </row>
    <row r="1651" spans="1:1" x14ac:dyDescent="0.2">
      <c r="A1651" t="s">
        <v>3813</v>
      </c>
    </row>
    <row r="1652" spans="1:1" x14ac:dyDescent="0.2">
      <c r="A1652" t="s">
        <v>3814</v>
      </c>
    </row>
    <row r="1653" spans="1:1" x14ac:dyDescent="0.2">
      <c r="A1653" t="s">
        <v>3815</v>
      </c>
    </row>
    <row r="1654" spans="1:1" x14ac:dyDescent="0.2">
      <c r="A1654" t="s">
        <v>3816</v>
      </c>
    </row>
    <row r="1655" spans="1:1" x14ac:dyDescent="0.2">
      <c r="A1655" t="s">
        <v>3817</v>
      </c>
    </row>
    <row r="1656" spans="1:1" x14ac:dyDescent="0.2">
      <c r="A1656" t="s">
        <v>3818</v>
      </c>
    </row>
    <row r="1657" spans="1:1" x14ac:dyDescent="0.2">
      <c r="A1657" t="s">
        <v>3819</v>
      </c>
    </row>
    <row r="1658" spans="1:1" x14ac:dyDescent="0.2">
      <c r="A1658" t="s">
        <v>3820</v>
      </c>
    </row>
    <row r="1659" spans="1:1" x14ac:dyDescent="0.2">
      <c r="A1659" t="s">
        <v>3821</v>
      </c>
    </row>
    <row r="1660" spans="1:1" x14ac:dyDescent="0.2">
      <c r="A1660" t="s">
        <v>3822</v>
      </c>
    </row>
    <row r="1661" spans="1:1" x14ac:dyDescent="0.2">
      <c r="A1661" t="s">
        <v>3823</v>
      </c>
    </row>
    <row r="1662" spans="1:1" x14ac:dyDescent="0.2">
      <c r="A1662" t="s">
        <v>3824</v>
      </c>
    </row>
    <row r="1663" spans="1:1" x14ac:dyDescent="0.2">
      <c r="A1663" t="s">
        <v>3825</v>
      </c>
    </row>
    <row r="1664" spans="1:1" x14ac:dyDescent="0.2">
      <c r="A1664" t="s">
        <v>3826</v>
      </c>
    </row>
    <row r="1665" spans="1:1" x14ac:dyDescent="0.2">
      <c r="A1665" t="s">
        <v>3827</v>
      </c>
    </row>
    <row r="1666" spans="1:1" x14ac:dyDescent="0.2">
      <c r="A1666" t="s">
        <v>3828</v>
      </c>
    </row>
    <row r="1667" spans="1:1" x14ac:dyDescent="0.2">
      <c r="A1667" t="s">
        <v>3829</v>
      </c>
    </row>
    <row r="1668" spans="1:1" x14ac:dyDescent="0.2">
      <c r="A1668" t="s">
        <v>3830</v>
      </c>
    </row>
    <row r="1669" spans="1:1" x14ac:dyDescent="0.2">
      <c r="A1669" t="s">
        <v>3831</v>
      </c>
    </row>
    <row r="1670" spans="1:1" x14ac:dyDescent="0.2">
      <c r="A1670" t="s">
        <v>3832</v>
      </c>
    </row>
    <row r="1671" spans="1:1" x14ac:dyDescent="0.2">
      <c r="A1671" t="s">
        <v>3833</v>
      </c>
    </row>
    <row r="1672" spans="1:1" x14ac:dyDescent="0.2">
      <c r="A1672" t="s">
        <v>3834</v>
      </c>
    </row>
    <row r="1673" spans="1:1" x14ac:dyDescent="0.2">
      <c r="A1673" t="s">
        <v>3835</v>
      </c>
    </row>
    <row r="1674" spans="1:1" x14ac:dyDescent="0.2">
      <c r="A1674" t="s">
        <v>3836</v>
      </c>
    </row>
    <row r="1675" spans="1:1" x14ac:dyDescent="0.2">
      <c r="A1675" t="s">
        <v>3837</v>
      </c>
    </row>
    <row r="1676" spans="1:1" x14ac:dyDescent="0.2">
      <c r="A1676" t="s">
        <v>3838</v>
      </c>
    </row>
    <row r="1677" spans="1:1" x14ac:dyDescent="0.2">
      <c r="A1677" t="s">
        <v>3839</v>
      </c>
    </row>
    <row r="1678" spans="1:1" x14ac:dyDescent="0.2">
      <c r="A1678" t="s">
        <v>3840</v>
      </c>
    </row>
    <row r="1679" spans="1:1" x14ac:dyDescent="0.2">
      <c r="A1679" t="s">
        <v>3841</v>
      </c>
    </row>
    <row r="1680" spans="1:1" x14ac:dyDescent="0.2">
      <c r="A1680" t="s">
        <v>3842</v>
      </c>
    </row>
    <row r="1681" spans="1:1" x14ac:dyDescent="0.2">
      <c r="A1681" t="s">
        <v>3843</v>
      </c>
    </row>
    <row r="1682" spans="1:1" x14ac:dyDescent="0.2">
      <c r="A1682" t="s">
        <v>3844</v>
      </c>
    </row>
    <row r="1683" spans="1:1" x14ac:dyDescent="0.2">
      <c r="A1683" t="s">
        <v>3845</v>
      </c>
    </row>
    <row r="1684" spans="1:1" x14ac:dyDescent="0.2">
      <c r="A1684" t="s">
        <v>3846</v>
      </c>
    </row>
    <row r="1685" spans="1:1" x14ac:dyDescent="0.2">
      <c r="A1685" t="s">
        <v>3847</v>
      </c>
    </row>
    <row r="1686" spans="1:1" x14ac:dyDescent="0.2">
      <c r="A1686" t="s">
        <v>3848</v>
      </c>
    </row>
    <row r="1687" spans="1:1" x14ac:dyDescent="0.2">
      <c r="A1687" t="s">
        <v>3849</v>
      </c>
    </row>
    <row r="1688" spans="1:1" x14ac:dyDescent="0.2">
      <c r="A1688" t="s">
        <v>3850</v>
      </c>
    </row>
    <row r="1689" spans="1:1" x14ac:dyDescent="0.2">
      <c r="A1689" t="s">
        <v>3851</v>
      </c>
    </row>
    <row r="1690" spans="1:1" x14ac:dyDescent="0.2">
      <c r="A1690" t="s">
        <v>3852</v>
      </c>
    </row>
    <row r="1691" spans="1:1" x14ac:dyDescent="0.2">
      <c r="A1691" t="s">
        <v>3853</v>
      </c>
    </row>
    <row r="1692" spans="1:1" x14ac:dyDescent="0.2">
      <c r="A1692" t="s">
        <v>3854</v>
      </c>
    </row>
    <row r="1693" spans="1:1" x14ac:dyDescent="0.2">
      <c r="A1693" t="s">
        <v>3855</v>
      </c>
    </row>
    <row r="1694" spans="1:1" x14ac:dyDescent="0.2">
      <c r="A1694" t="s">
        <v>3856</v>
      </c>
    </row>
    <row r="1695" spans="1:1" x14ac:dyDescent="0.2">
      <c r="A1695" t="s">
        <v>3857</v>
      </c>
    </row>
    <row r="1696" spans="1:1" x14ac:dyDescent="0.2">
      <c r="A1696" t="s">
        <v>3858</v>
      </c>
    </row>
    <row r="1697" spans="1:1" x14ac:dyDescent="0.2">
      <c r="A1697" t="s">
        <v>3859</v>
      </c>
    </row>
    <row r="1698" spans="1:1" x14ac:dyDescent="0.2">
      <c r="A1698" t="s">
        <v>3860</v>
      </c>
    </row>
    <row r="1699" spans="1:1" x14ac:dyDescent="0.2">
      <c r="A1699" t="s">
        <v>3861</v>
      </c>
    </row>
    <row r="1700" spans="1:1" x14ac:dyDescent="0.2">
      <c r="A1700" t="s">
        <v>3862</v>
      </c>
    </row>
    <row r="1701" spans="1:1" x14ac:dyDescent="0.2">
      <c r="A1701" t="s">
        <v>3863</v>
      </c>
    </row>
    <row r="1702" spans="1:1" x14ac:dyDescent="0.2">
      <c r="A1702" t="s">
        <v>3864</v>
      </c>
    </row>
    <row r="1703" spans="1:1" x14ac:dyDescent="0.2">
      <c r="A1703" t="s">
        <v>3865</v>
      </c>
    </row>
    <row r="1704" spans="1:1" x14ac:dyDescent="0.2">
      <c r="A1704" t="s">
        <v>3866</v>
      </c>
    </row>
    <row r="1705" spans="1:1" x14ac:dyDescent="0.2">
      <c r="A1705" t="s">
        <v>3867</v>
      </c>
    </row>
    <row r="1706" spans="1:1" x14ac:dyDescent="0.2">
      <c r="A1706" t="s">
        <v>3868</v>
      </c>
    </row>
    <row r="1707" spans="1:1" x14ac:dyDescent="0.2">
      <c r="A1707" t="s">
        <v>3869</v>
      </c>
    </row>
    <row r="1708" spans="1:1" x14ac:dyDescent="0.2">
      <c r="A1708" t="s">
        <v>3870</v>
      </c>
    </row>
    <row r="1709" spans="1:1" x14ac:dyDescent="0.2">
      <c r="A1709" t="s">
        <v>3871</v>
      </c>
    </row>
    <row r="1710" spans="1:1" x14ac:dyDescent="0.2">
      <c r="A1710" t="s">
        <v>3872</v>
      </c>
    </row>
    <row r="1711" spans="1:1" x14ac:dyDescent="0.2">
      <c r="A1711" t="s">
        <v>3873</v>
      </c>
    </row>
    <row r="1712" spans="1:1" x14ac:dyDescent="0.2">
      <c r="A1712" t="s">
        <v>3874</v>
      </c>
    </row>
    <row r="1713" spans="1:1" x14ac:dyDescent="0.2">
      <c r="A1713" t="s">
        <v>3875</v>
      </c>
    </row>
    <row r="1714" spans="1:1" x14ac:dyDescent="0.2">
      <c r="A1714" t="s">
        <v>3876</v>
      </c>
    </row>
    <row r="1715" spans="1:1" x14ac:dyDescent="0.2">
      <c r="A1715" t="s">
        <v>3877</v>
      </c>
    </row>
    <row r="1716" spans="1:1" x14ac:dyDescent="0.2">
      <c r="A1716" t="s">
        <v>3878</v>
      </c>
    </row>
    <row r="1717" spans="1:1" x14ac:dyDescent="0.2">
      <c r="A1717" t="s">
        <v>3879</v>
      </c>
    </row>
    <row r="1718" spans="1:1" x14ac:dyDescent="0.2">
      <c r="A1718" t="s">
        <v>3880</v>
      </c>
    </row>
    <row r="1719" spans="1:1" x14ac:dyDescent="0.2">
      <c r="A1719" t="s">
        <v>3881</v>
      </c>
    </row>
    <row r="1720" spans="1:1" x14ac:dyDescent="0.2">
      <c r="A1720" t="s">
        <v>3882</v>
      </c>
    </row>
    <row r="1721" spans="1:1" x14ac:dyDescent="0.2">
      <c r="A1721" t="s">
        <v>3883</v>
      </c>
    </row>
    <row r="1722" spans="1:1" x14ac:dyDescent="0.2">
      <c r="A1722" t="s">
        <v>3884</v>
      </c>
    </row>
    <row r="1723" spans="1:1" x14ac:dyDescent="0.2">
      <c r="A1723" t="s">
        <v>3885</v>
      </c>
    </row>
    <row r="1724" spans="1:1" x14ac:dyDescent="0.2">
      <c r="A1724" t="s">
        <v>3886</v>
      </c>
    </row>
    <row r="1725" spans="1:1" x14ac:dyDescent="0.2">
      <c r="A1725" t="s">
        <v>3887</v>
      </c>
    </row>
    <row r="1726" spans="1:1" x14ac:dyDescent="0.2">
      <c r="A1726" t="s">
        <v>3888</v>
      </c>
    </row>
    <row r="1727" spans="1:1" x14ac:dyDescent="0.2">
      <c r="A1727" t="s">
        <v>3889</v>
      </c>
    </row>
    <row r="1728" spans="1:1" x14ac:dyDescent="0.2">
      <c r="A1728" t="s">
        <v>3890</v>
      </c>
    </row>
    <row r="1729" spans="1:1" x14ac:dyDescent="0.2">
      <c r="A1729" t="s">
        <v>3891</v>
      </c>
    </row>
    <row r="1730" spans="1:1" x14ac:dyDescent="0.2">
      <c r="A1730" t="s">
        <v>3892</v>
      </c>
    </row>
    <row r="1731" spans="1:1" x14ac:dyDescent="0.2">
      <c r="A1731" t="s">
        <v>3893</v>
      </c>
    </row>
    <row r="1732" spans="1:1" x14ac:dyDescent="0.2">
      <c r="A1732" t="s">
        <v>3894</v>
      </c>
    </row>
    <row r="1733" spans="1:1" x14ac:dyDescent="0.2">
      <c r="A1733" t="s">
        <v>3895</v>
      </c>
    </row>
    <row r="1734" spans="1:1" x14ac:dyDescent="0.2">
      <c r="A1734" t="s">
        <v>3896</v>
      </c>
    </row>
    <row r="1735" spans="1:1" x14ac:dyDescent="0.2">
      <c r="A1735" t="s">
        <v>3897</v>
      </c>
    </row>
    <row r="1736" spans="1:1" x14ac:dyDescent="0.2">
      <c r="A1736" t="s">
        <v>3898</v>
      </c>
    </row>
    <row r="1737" spans="1:1" x14ac:dyDescent="0.2">
      <c r="A1737" t="s">
        <v>3899</v>
      </c>
    </row>
    <row r="1738" spans="1:1" x14ac:dyDescent="0.2">
      <c r="A1738" t="s">
        <v>3900</v>
      </c>
    </row>
    <row r="1739" spans="1:1" x14ac:dyDescent="0.2">
      <c r="A1739" t="s">
        <v>3901</v>
      </c>
    </row>
    <row r="1740" spans="1:1" x14ac:dyDescent="0.2">
      <c r="A1740" t="s">
        <v>3902</v>
      </c>
    </row>
    <row r="1741" spans="1:1" x14ac:dyDescent="0.2">
      <c r="A1741" t="s">
        <v>3903</v>
      </c>
    </row>
    <row r="1742" spans="1:1" x14ac:dyDescent="0.2">
      <c r="A1742" t="s">
        <v>3904</v>
      </c>
    </row>
    <row r="1743" spans="1:1" x14ac:dyDescent="0.2">
      <c r="A1743" t="s">
        <v>3905</v>
      </c>
    </row>
    <row r="1744" spans="1:1" x14ac:dyDescent="0.2">
      <c r="A1744" t="s">
        <v>3906</v>
      </c>
    </row>
    <row r="1745" spans="1:1" x14ac:dyDescent="0.2">
      <c r="A1745" t="s">
        <v>3907</v>
      </c>
    </row>
    <row r="1746" spans="1:1" x14ac:dyDescent="0.2">
      <c r="A1746" t="s">
        <v>3908</v>
      </c>
    </row>
    <row r="1747" spans="1:1" x14ac:dyDescent="0.2">
      <c r="A1747" t="s">
        <v>3909</v>
      </c>
    </row>
    <row r="1748" spans="1:1" x14ac:dyDescent="0.2">
      <c r="A1748" t="s">
        <v>3910</v>
      </c>
    </row>
    <row r="1749" spans="1:1" x14ac:dyDescent="0.2">
      <c r="A1749" t="s">
        <v>3911</v>
      </c>
    </row>
    <row r="1750" spans="1:1" x14ac:dyDescent="0.2">
      <c r="A1750" t="s">
        <v>3912</v>
      </c>
    </row>
    <row r="1751" spans="1:1" x14ac:dyDescent="0.2">
      <c r="A1751" t="s">
        <v>3913</v>
      </c>
    </row>
    <row r="1752" spans="1:1" x14ac:dyDescent="0.2">
      <c r="A1752" t="s">
        <v>3914</v>
      </c>
    </row>
    <row r="1753" spans="1:1" x14ac:dyDescent="0.2">
      <c r="A1753" t="s">
        <v>3915</v>
      </c>
    </row>
    <row r="1754" spans="1:1" x14ac:dyDescent="0.2">
      <c r="A1754" t="s">
        <v>3916</v>
      </c>
    </row>
    <row r="1755" spans="1:1" x14ac:dyDescent="0.2">
      <c r="A1755" t="s">
        <v>3917</v>
      </c>
    </row>
    <row r="1756" spans="1:1" x14ac:dyDescent="0.2">
      <c r="A1756" t="s">
        <v>3918</v>
      </c>
    </row>
    <row r="1757" spans="1:1" x14ac:dyDescent="0.2">
      <c r="A1757" t="s">
        <v>3919</v>
      </c>
    </row>
    <row r="1758" spans="1:1" x14ac:dyDescent="0.2">
      <c r="A1758" t="s">
        <v>3920</v>
      </c>
    </row>
    <row r="1759" spans="1:1" x14ac:dyDescent="0.2">
      <c r="A1759" t="s">
        <v>3921</v>
      </c>
    </row>
    <row r="1760" spans="1:1" x14ac:dyDescent="0.2">
      <c r="A1760" t="s">
        <v>3922</v>
      </c>
    </row>
    <row r="1761" spans="1:1" x14ac:dyDescent="0.2">
      <c r="A1761" t="s">
        <v>3923</v>
      </c>
    </row>
    <row r="1762" spans="1:1" x14ac:dyDescent="0.2">
      <c r="A1762" t="s">
        <v>3924</v>
      </c>
    </row>
    <row r="1763" spans="1:1" x14ac:dyDescent="0.2">
      <c r="A1763" t="s">
        <v>3925</v>
      </c>
    </row>
    <row r="1764" spans="1:1" x14ac:dyDescent="0.2">
      <c r="A1764" t="s">
        <v>3926</v>
      </c>
    </row>
    <row r="1765" spans="1:1" x14ac:dyDescent="0.2">
      <c r="A1765" t="s">
        <v>3927</v>
      </c>
    </row>
    <row r="1766" spans="1:1" x14ac:dyDescent="0.2">
      <c r="A1766" t="s">
        <v>3928</v>
      </c>
    </row>
    <row r="1767" spans="1:1" x14ac:dyDescent="0.2">
      <c r="A1767" t="s">
        <v>3929</v>
      </c>
    </row>
    <row r="1768" spans="1:1" x14ac:dyDescent="0.2">
      <c r="A1768" t="s">
        <v>3930</v>
      </c>
    </row>
    <row r="1769" spans="1:1" x14ac:dyDescent="0.2">
      <c r="A1769" t="s">
        <v>3931</v>
      </c>
    </row>
    <row r="1770" spans="1:1" x14ac:dyDescent="0.2">
      <c r="A1770" t="s">
        <v>3932</v>
      </c>
    </row>
    <row r="1771" spans="1:1" x14ac:dyDescent="0.2">
      <c r="A1771" t="s">
        <v>3933</v>
      </c>
    </row>
    <row r="1772" spans="1:1" x14ac:dyDescent="0.2">
      <c r="A1772" t="s">
        <v>3934</v>
      </c>
    </row>
    <row r="1773" spans="1:1" x14ac:dyDescent="0.2">
      <c r="A1773" t="s">
        <v>3935</v>
      </c>
    </row>
    <row r="1774" spans="1:1" x14ac:dyDescent="0.2">
      <c r="A1774" t="s">
        <v>3936</v>
      </c>
    </row>
    <row r="1775" spans="1:1" x14ac:dyDescent="0.2">
      <c r="A1775" t="s">
        <v>3937</v>
      </c>
    </row>
    <row r="1776" spans="1:1" x14ac:dyDescent="0.2">
      <c r="A1776" t="s">
        <v>3938</v>
      </c>
    </row>
    <row r="1777" spans="1:1" x14ac:dyDescent="0.2">
      <c r="A1777" t="s">
        <v>3939</v>
      </c>
    </row>
    <row r="1778" spans="1:1" x14ac:dyDescent="0.2">
      <c r="A1778" t="s">
        <v>3940</v>
      </c>
    </row>
    <row r="1779" spans="1:1" x14ac:dyDescent="0.2">
      <c r="A1779" t="s">
        <v>3941</v>
      </c>
    </row>
    <row r="1780" spans="1:1" x14ac:dyDescent="0.2">
      <c r="A1780" t="s">
        <v>3942</v>
      </c>
    </row>
    <row r="1781" spans="1:1" x14ac:dyDescent="0.2">
      <c r="A1781" t="s">
        <v>3943</v>
      </c>
    </row>
    <row r="1782" spans="1:1" x14ac:dyDescent="0.2">
      <c r="A1782" t="s">
        <v>3944</v>
      </c>
    </row>
    <row r="1783" spans="1:1" x14ac:dyDescent="0.2">
      <c r="A1783" t="s">
        <v>3945</v>
      </c>
    </row>
    <row r="1784" spans="1:1" x14ac:dyDescent="0.2">
      <c r="A1784" t="s">
        <v>3946</v>
      </c>
    </row>
    <row r="1785" spans="1:1" x14ac:dyDescent="0.2">
      <c r="A1785" t="s">
        <v>3947</v>
      </c>
    </row>
    <row r="1786" spans="1:1" x14ac:dyDescent="0.2">
      <c r="A1786" t="s">
        <v>3948</v>
      </c>
    </row>
    <row r="1787" spans="1:1" x14ac:dyDescent="0.2">
      <c r="A1787" t="s">
        <v>3949</v>
      </c>
    </row>
    <row r="1788" spans="1:1" x14ac:dyDescent="0.2">
      <c r="A1788" t="s">
        <v>3950</v>
      </c>
    </row>
    <row r="1789" spans="1:1" x14ac:dyDescent="0.2">
      <c r="A1789" t="s">
        <v>3951</v>
      </c>
    </row>
    <row r="1790" spans="1:1" x14ac:dyDescent="0.2">
      <c r="A1790" t="s">
        <v>3952</v>
      </c>
    </row>
    <row r="1791" spans="1:1" x14ac:dyDescent="0.2">
      <c r="A1791" t="s">
        <v>3953</v>
      </c>
    </row>
    <row r="1792" spans="1:1" x14ac:dyDescent="0.2">
      <c r="A1792" t="s">
        <v>3954</v>
      </c>
    </row>
    <row r="1793" spans="1:1" x14ac:dyDescent="0.2">
      <c r="A1793" t="s">
        <v>3955</v>
      </c>
    </row>
    <row r="1794" spans="1:1" x14ac:dyDescent="0.2">
      <c r="A1794" t="s">
        <v>3956</v>
      </c>
    </row>
    <row r="1795" spans="1:1" x14ac:dyDescent="0.2">
      <c r="A1795" t="s">
        <v>3957</v>
      </c>
    </row>
    <row r="1796" spans="1:1" x14ac:dyDescent="0.2">
      <c r="A1796" t="s">
        <v>3958</v>
      </c>
    </row>
    <row r="1797" spans="1:1" x14ac:dyDescent="0.2">
      <c r="A1797" t="s">
        <v>3959</v>
      </c>
    </row>
    <row r="1798" spans="1:1" x14ac:dyDescent="0.2">
      <c r="A1798" t="s">
        <v>3960</v>
      </c>
    </row>
    <row r="1799" spans="1:1" x14ac:dyDescent="0.2">
      <c r="A1799" t="s">
        <v>3961</v>
      </c>
    </row>
    <row r="1800" spans="1:1" x14ac:dyDescent="0.2">
      <c r="A1800" t="s">
        <v>3962</v>
      </c>
    </row>
    <row r="1801" spans="1:1" x14ac:dyDescent="0.2">
      <c r="A1801" t="s">
        <v>3963</v>
      </c>
    </row>
    <row r="1802" spans="1:1" x14ac:dyDescent="0.2">
      <c r="A1802" t="s">
        <v>3964</v>
      </c>
    </row>
    <row r="1803" spans="1:1" x14ac:dyDescent="0.2">
      <c r="A1803" t="s">
        <v>3965</v>
      </c>
    </row>
    <row r="1804" spans="1:1" x14ac:dyDescent="0.2">
      <c r="A1804" t="s">
        <v>3966</v>
      </c>
    </row>
    <row r="1805" spans="1:1" x14ac:dyDescent="0.2">
      <c r="A1805" t="s">
        <v>3967</v>
      </c>
    </row>
    <row r="1806" spans="1:1" x14ac:dyDescent="0.2">
      <c r="A1806" t="s">
        <v>3968</v>
      </c>
    </row>
    <row r="1807" spans="1:1" x14ac:dyDescent="0.2">
      <c r="A1807" t="s">
        <v>3969</v>
      </c>
    </row>
    <row r="1808" spans="1:1" x14ac:dyDescent="0.2">
      <c r="A1808" t="s">
        <v>3970</v>
      </c>
    </row>
    <row r="1809" spans="1:1" x14ac:dyDescent="0.2">
      <c r="A1809" t="s">
        <v>3971</v>
      </c>
    </row>
    <row r="1810" spans="1:1" x14ac:dyDescent="0.2">
      <c r="A1810" t="s">
        <v>3972</v>
      </c>
    </row>
    <row r="1811" spans="1:1" x14ac:dyDescent="0.2">
      <c r="A1811" t="s">
        <v>3973</v>
      </c>
    </row>
    <row r="1812" spans="1:1" x14ac:dyDescent="0.2">
      <c r="A1812" t="s">
        <v>3974</v>
      </c>
    </row>
    <row r="1813" spans="1:1" x14ac:dyDescent="0.2">
      <c r="A1813" t="s">
        <v>3975</v>
      </c>
    </row>
    <row r="1814" spans="1:1" x14ac:dyDescent="0.2">
      <c r="A1814" t="s">
        <v>3976</v>
      </c>
    </row>
    <row r="1815" spans="1:1" x14ac:dyDescent="0.2">
      <c r="A1815" t="s">
        <v>3977</v>
      </c>
    </row>
    <row r="1816" spans="1:1" x14ac:dyDescent="0.2">
      <c r="A1816" t="s">
        <v>3978</v>
      </c>
    </row>
    <row r="1817" spans="1:1" x14ac:dyDescent="0.2">
      <c r="A1817" t="s">
        <v>3979</v>
      </c>
    </row>
    <row r="1818" spans="1:1" x14ac:dyDescent="0.2">
      <c r="A1818" t="s">
        <v>3980</v>
      </c>
    </row>
    <row r="1819" spans="1:1" x14ac:dyDescent="0.2">
      <c r="A1819" t="s">
        <v>3981</v>
      </c>
    </row>
    <row r="1820" spans="1:1" x14ac:dyDescent="0.2">
      <c r="A1820" t="s">
        <v>3982</v>
      </c>
    </row>
    <row r="1821" spans="1:1" x14ac:dyDescent="0.2">
      <c r="A1821" t="s">
        <v>3983</v>
      </c>
    </row>
    <row r="1822" spans="1:1" x14ac:dyDescent="0.2">
      <c r="A1822" t="s">
        <v>3984</v>
      </c>
    </row>
    <row r="1823" spans="1:1" x14ac:dyDescent="0.2">
      <c r="A1823" t="s">
        <v>3985</v>
      </c>
    </row>
    <row r="1824" spans="1:1" x14ac:dyDescent="0.2">
      <c r="A1824" t="s">
        <v>3986</v>
      </c>
    </row>
    <row r="1825" spans="1:1" x14ac:dyDescent="0.2">
      <c r="A1825" t="s">
        <v>3987</v>
      </c>
    </row>
    <row r="1826" spans="1:1" x14ac:dyDescent="0.2">
      <c r="A1826" t="s">
        <v>3988</v>
      </c>
    </row>
    <row r="1827" spans="1:1" x14ac:dyDescent="0.2">
      <c r="A1827" t="s">
        <v>3989</v>
      </c>
    </row>
    <row r="1828" spans="1:1" x14ac:dyDescent="0.2">
      <c r="A1828" t="s">
        <v>3990</v>
      </c>
    </row>
    <row r="1829" spans="1:1" x14ac:dyDescent="0.2">
      <c r="A1829" t="s">
        <v>3991</v>
      </c>
    </row>
    <row r="1830" spans="1:1" x14ac:dyDescent="0.2">
      <c r="A1830" t="s">
        <v>3992</v>
      </c>
    </row>
    <row r="1831" spans="1:1" x14ac:dyDescent="0.2">
      <c r="A1831" t="s">
        <v>3993</v>
      </c>
    </row>
    <row r="1832" spans="1:1" x14ac:dyDescent="0.2">
      <c r="A1832" t="s">
        <v>3994</v>
      </c>
    </row>
    <row r="1833" spans="1:1" x14ac:dyDescent="0.2">
      <c r="A1833" t="s">
        <v>3995</v>
      </c>
    </row>
    <row r="1834" spans="1:1" x14ac:dyDescent="0.2">
      <c r="A1834" t="s">
        <v>3996</v>
      </c>
    </row>
    <row r="1835" spans="1:1" x14ac:dyDescent="0.2">
      <c r="A1835" t="s">
        <v>3997</v>
      </c>
    </row>
    <row r="1836" spans="1:1" x14ac:dyDescent="0.2">
      <c r="A1836" t="s">
        <v>3998</v>
      </c>
    </row>
    <row r="1837" spans="1:1" x14ac:dyDescent="0.2">
      <c r="A1837" t="s">
        <v>3999</v>
      </c>
    </row>
    <row r="1838" spans="1:1" x14ac:dyDescent="0.2">
      <c r="A1838" t="s">
        <v>4000</v>
      </c>
    </row>
    <row r="1839" spans="1:1" x14ac:dyDescent="0.2">
      <c r="A1839" t="s">
        <v>4001</v>
      </c>
    </row>
    <row r="1840" spans="1:1" x14ac:dyDescent="0.2">
      <c r="A1840" t="s">
        <v>4002</v>
      </c>
    </row>
    <row r="1841" spans="1:1" x14ac:dyDescent="0.2">
      <c r="A1841" t="s">
        <v>4003</v>
      </c>
    </row>
    <row r="1842" spans="1:1" x14ac:dyDescent="0.2">
      <c r="A1842" t="s">
        <v>4004</v>
      </c>
    </row>
    <row r="1843" spans="1:1" x14ac:dyDescent="0.2">
      <c r="A1843" t="s">
        <v>4005</v>
      </c>
    </row>
    <row r="1844" spans="1:1" x14ac:dyDescent="0.2">
      <c r="A1844" t="s">
        <v>4006</v>
      </c>
    </row>
    <row r="1845" spans="1:1" x14ac:dyDescent="0.2">
      <c r="A1845" t="s">
        <v>4007</v>
      </c>
    </row>
    <row r="1846" spans="1:1" x14ac:dyDescent="0.2">
      <c r="A1846" t="s">
        <v>4008</v>
      </c>
    </row>
    <row r="1847" spans="1:1" x14ac:dyDescent="0.2">
      <c r="A1847" t="s">
        <v>4009</v>
      </c>
    </row>
    <row r="1848" spans="1:1" x14ac:dyDescent="0.2">
      <c r="A1848" t="s">
        <v>4010</v>
      </c>
    </row>
    <row r="1849" spans="1:1" x14ac:dyDescent="0.2">
      <c r="A1849" t="s">
        <v>4011</v>
      </c>
    </row>
    <row r="1850" spans="1:1" x14ac:dyDescent="0.2">
      <c r="A1850" t="s">
        <v>4012</v>
      </c>
    </row>
    <row r="1851" spans="1:1" x14ac:dyDescent="0.2">
      <c r="A1851" t="s">
        <v>4013</v>
      </c>
    </row>
    <row r="1852" spans="1:1" x14ac:dyDescent="0.2">
      <c r="A1852" t="s">
        <v>4014</v>
      </c>
    </row>
    <row r="1853" spans="1:1" x14ac:dyDescent="0.2">
      <c r="A1853" t="s">
        <v>4015</v>
      </c>
    </row>
    <row r="1854" spans="1:1" x14ac:dyDescent="0.2">
      <c r="A1854" t="s">
        <v>4016</v>
      </c>
    </row>
    <row r="1855" spans="1:1" x14ac:dyDescent="0.2">
      <c r="A1855" t="s">
        <v>4017</v>
      </c>
    </row>
    <row r="1856" spans="1:1" x14ac:dyDescent="0.2">
      <c r="A1856" t="s">
        <v>4018</v>
      </c>
    </row>
    <row r="1857" spans="1:1" x14ac:dyDescent="0.2">
      <c r="A1857" t="s">
        <v>4019</v>
      </c>
    </row>
    <row r="1858" spans="1:1" x14ac:dyDescent="0.2">
      <c r="A1858" t="s">
        <v>4020</v>
      </c>
    </row>
    <row r="1859" spans="1:1" x14ac:dyDescent="0.2">
      <c r="A1859" t="s">
        <v>4021</v>
      </c>
    </row>
    <row r="1860" spans="1:1" x14ac:dyDescent="0.2">
      <c r="A1860" t="s">
        <v>4022</v>
      </c>
    </row>
    <row r="1861" spans="1:1" x14ac:dyDescent="0.2">
      <c r="A1861" t="s">
        <v>4023</v>
      </c>
    </row>
    <row r="1862" spans="1:1" x14ac:dyDescent="0.2">
      <c r="A1862" t="s">
        <v>4024</v>
      </c>
    </row>
    <row r="1863" spans="1:1" x14ac:dyDescent="0.2">
      <c r="A1863" t="s">
        <v>4025</v>
      </c>
    </row>
    <row r="1864" spans="1:1" x14ac:dyDescent="0.2">
      <c r="A1864" t="s">
        <v>4026</v>
      </c>
    </row>
    <row r="1865" spans="1:1" x14ac:dyDescent="0.2">
      <c r="A1865" t="s">
        <v>4027</v>
      </c>
    </row>
    <row r="1866" spans="1:1" x14ac:dyDescent="0.2">
      <c r="A1866" t="s">
        <v>4028</v>
      </c>
    </row>
    <row r="1867" spans="1:1" x14ac:dyDescent="0.2">
      <c r="A1867" t="s">
        <v>4029</v>
      </c>
    </row>
    <row r="1868" spans="1:1" x14ac:dyDescent="0.2">
      <c r="A1868" t="s">
        <v>4030</v>
      </c>
    </row>
    <row r="1869" spans="1:1" x14ac:dyDescent="0.2">
      <c r="A1869" t="s">
        <v>4031</v>
      </c>
    </row>
    <row r="1870" spans="1:1" x14ac:dyDescent="0.2">
      <c r="A1870" t="s">
        <v>4032</v>
      </c>
    </row>
    <row r="1871" spans="1:1" x14ac:dyDescent="0.2">
      <c r="A1871" t="s">
        <v>4033</v>
      </c>
    </row>
    <row r="1872" spans="1:1" x14ac:dyDescent="0.2">
      <c r="A1872" t="s">
        <v>4034</v>
      </c>
    </row>
    <row r="1873" spans="1:1" x14ac:dyDescent="0.2">
      <c r="A1873" t="s">
        <v>4035</v>
      </c>
    </row>
    <row r="1874" spans="1:1" x14ac:dyDescent="0.2">
      <c r="A1874" t="s">
        <v>4036</v>
      </c>
    </row>
    <row r="1875" spans="1:1" x14ac:dyDescent="0.2">
      <c r="A1875" t="s">
        <v>4037</v>
      </c>
    </row>
    <row r="1876" spans="1:1" x14ac:dyDescent="0.2">
      <c r="A1876" t="s">
        <v>4038</v>
      </c>
    </row>
    <row r="1877" spans="1:1" x14ac:dyDescent="0.2">
      <c r="A1877" t="s">
        <v>4039</v>
      </c>
    </row>
    <row r="1878" spans="1:1" x14ac:dyDescent="0.2">
      <c r="A1878" t="s">
        <v>4040</v>
      </c>
    </row>
    <row r="1879" spans="1:1" x14ac:dyDescent="0.2">
      <c r="A1879" t="s">
        <v>4041</v>
      </c>
    </row>
    <row r="1880" spans="1:1" x14ac:dyDescent="0.2">
      <c r="A1880" t="s">
        <v>4042</v>
      </c>
    </row>
    <row r="1881" spans="1:1" x14ac:dyDescent="0.2">
      <c r="A1881" t="s">
        <v>4043</v>
      </c>
    </row>
    <row r="1882" spans="1:1" x14ac:dyDescent="0.2">
      <c r="A1882" t="s">
        <v>4044</v>
      </c>
    </row>
    <row r="1883" spans="1:1" x14ac:dyDescent="0.2">
      <c r="A1883" t="s">
        <v>4045</v>
      </c>
    </row>
    <row r="1884" spans="1:1" x14ac:dyDescent="0.2">
      <c r="A1884" t="s">
        <v>4046</v>
      </c>
    </row>
    <row r="1885" spans="1:1" x14ac:dyDescent="0.2">
      <c r="A1885" t="s">
        <v>4047</v>
      </c>
    </row>
    <row r="1886" spans="1:1" x14ac:dyDescent="0.2">
      <c r="A1886" t="s">
        <v>4048</v>
      </c>
    </row>
    <row r="1887" spans="1:1" x14ac:dyDescent="0.2">
      <c r="A1887" t="s">
        <v>4049</v>
      </c>
    </row>
    <row r="1888" spans="1:1" x14ac:dyDescent="0.2">
      <c r="A1888" t="s">
        <v>4050</v>
      </c>
    </row>
    <row r="1889" spans="1:1" x14ac:dyDescent="0.2">
      <c r="A1889" t="s">
        <v>4051</v>
      </c>
    </row>
    <row r="1890" spans="1:1" x14ac:dyDescent="0.2">
      <c r="A1890" t="s">
        <v>4052</v>
      </c>
    </row>
    <row r="1891" spans="1:1" x14ac:dyDescent="0.2">
      <c r="A1891" t="s">
        <v>4053</v>
      </c>
    </row>
    <row r="1892" spans="1:1" x14ac:dyDescent="0.2">
      <c r="A1892" t="s">
        <v>4054</v>
      </c>
    </row>
    <row r="1893" spans="1:1" x14ac:dyDescent="0.2">
      <c r="A1893" t="s">
        <v>4055</v>
      </c>
    </row>
    <row r="1894" spans="1:1" x14ac:dyDescent="0.2">
      <c r="A1894" t="s">
        <v>4056</v>
      </c>
    </row>
    <row r="1895" spans="1:1" x14ac:dyDescent="0.2">
      <c r="A1895" t="s">
        <v>4057</v>
      </c>
    </row>
    <row r="1896" spans="1:1" x14ac:dyDescent="0.2">
      <c r="A1896" t="s">
        <v>4058</v>
      </c>
    </row>
    <row r="1897" spans="1:1" x14ac:dyDescent="0.2">
      <c r="A1897" t="s">
        <v>4059</v>
      </c>
    </row>
    <row r="1898" spans="1:1" x14ac:dyDescent="0.2">
      <c r="A1898" t="s">
        <v>4060</v>
      </c>
    </row>
    <row r="1899" spans="1:1" x14ac:dyDescent="0.2">
      <c r="A1899" t="s">
        <v>4061</v>
      </c>
    </row>
    <row r="1900" spans="1:1" x14ac:dyDescent="0.2">
      <c r="A1900" t="s">
        <v>4062</v>
      </c>
    </row>
    <row r="1901" spans="1:1" x14ac:dyDescent="0.2">
      <c r="A1901" t="s">
        <v>4063</v>
      </c>
    </row>
    <row r="1902" spans="1:1" x14ac:dyDescent="0.2">
      <c r="A1902" t="s">
        <v>4064</v>
      </c>
    </row>
    <row r="1903" spans="1:1" x14ac:dyDescent="0.2">
      <c r="A1903" t="s">
        <v>4065</v>
      </c>
    </row>
    <row r="1904" spans="1:1" x14ac:dyDescent="0.2">
      <c r="A1904" t="s">
        <v>4066</v>
      </c>
    </row>
    <row r="1905" spans="1:1" x14ac:dyDescent="0.2">
      <c r="A1905" t="s">
        <v>4067</v>
      </c>
    </row>
    <row r="1906" spans="1:1" x14ac:dyDescent="0.2">
      <c r="A1906" t="s">
        <v>4068</v>
      </c>
    </row>
    <row r="1907" spans="1:1" x14ac:dyDescent="0.2">
      <c r="A1907" t="s">
        <v>4069</v>
      </c>
    </row>
    <row r="1908" spans="1:1" x14ac:dyDescent="0.2">
      <c r="A1908" t="s">
        <v>4070</v>
      </c>
    </row>
    <row r="1909" spans="1:1" x14ac:dyDescent="0.2">
      <c r="A1909" t="s">
        <v>4071</v>
      </c>
    </row>
    <row r="1910" spans="1:1" x14ac:dyDescent="0.2">
      <c r="A1910" t="s">
        <v>4072</v>
      </c>
    </row>
    <row r="1911" spans="1:1" x14ac:dyDescent="0.2">
      <c r="A1911" t="s">
        <v>4073</v>
      </c>
    </row>
    <row r="1912" spans="1:1" x14ac:dyDescent="0.2">
      <c r="A1912" t="s">
        <v>4074</v>
      </c>
    </row>
    <row r="1913" spans="1:1" x14ac:dyDescent="0.2">
      <c r="A1913" t="s">
        <v>4075</v>
      </c>
    </row>
    <row r="1914" spans="1:1" x14ac:dyDescent="0.2">
      <c r="A1914" t="s">
        <v>4076</v>
      </c>
    </row>
    <row r="1915" spans="1:1" x14ac:dyDescent="0.2">
      <c r="A1915" t="s">
        <v>4077</v>
      </c>
    </row>
    <row r="1916" spans="1:1" x14ac:dyDescent="0.2">
      <c r="A1916" t="s">
        <v>4078</v>
      </c>
    </row>
    <row r="1917" spans="1:1" x14ac:dyDescent="0.2">
      <c r="A1917" t="s">
        <v>4079</v>
      </c>
    </row>
    <row r="1918" spans="1:1" x14ac:dyDescent="0.2">
      <c r="A1918" t="s">
        <v>4080</v>
      </c>
    </row>
    <row r="1919" spans="1:1" x14ac:dyDescent="0.2">
      <c r="A1919" t="s">
        <v>4081</v>
      </c>
    </row>
    <row r="1920" spans="1:1" x14ac:dyDescent="0.2">
      <c r="A1920" t="s">
        <v>4082</v>
      </c>
    </row>
    <row r="1921" spans="1:1" x14ac:dyDescent="0.2">
      <c r="A1921" t="s">
        <v>4083</v>
      </c>
    </row>
    <row r="1922" spans="1:1" x14ac:dyDescent="0.2">
      <c r="A1922" t="s">
        <v>4084</v>
      </c>
    </row>
    <row r="1923" spans="1:1" x14ac:dyDescent="0.2">
      <c r="A1923" t="s">
        <v>4085</v>
      </c>
    </row>
    <row r="1924" spans="1:1" x14ac:dyDescent="0.2">
      <c r="A1924" t="s">
        <v>4086</v>
      </c>
    </row>
    <row r="1925" spans="1:1" x14ac:dyDescent="0.2">
      <c r="A1925" t="s">
        <v>4087</v>
      </c>
    </row>
    <row r="1926" spans="1:1" x14ac:dyDescent="0.2">
      <c r="A1926" t="s">
        <v>4088</v>
      </c>
    </row>
    <row r="1927" spans="1:1" x14ac:dyDescent="0.2">
      <c r="A1927" t="s">
        <v>4089</v>
      </c>
    </row>
    <row r="1928" spans="1:1" x14ac:dyDescent="0.2">
      <c r="A1928" t="s">
        <v>4090</v>
      </c>
    </row>
    <row r="1929" spans="1:1" x14ac:dyDescent="0.2">
      <c r="A1929" t="s">
        <v>4091</v>
      </c>
    </row>
    <row r="1930" spans="1:1" x14ac:dyDescent="0.2">
      <c r="A1930" t="s">
        <v>4092</v>
      </c>
    </row>
    <row r="1931" spans="1:1" x14ac:dyDescent="0.2">
      <c r="A1931" t="s">
        <v>4093</v>
      </c>
    </row>
    <row r="1932" spans="1:1" x14ac:dyDescent="0.2">
      <c r="A1932" t="s">
        <v>4094</v>
      </c>
    </row>
    <row r="1933" spans="1:1" x14ac:dyDescent="0.2">
      <c r="A1933" t="s">
        <v>4095</v>
      </c>
    </row>
    <row r="1934" spans="1:1" x14ac:dyDescent="0.2">
      <c r="A1934" t="s">
        <v>4096</v>
      </c>
    </row>
    <row r="1935" spans="1:1" x14ac:dyDescent="0.2">
      <c r="A1935" t="s">
        <v>4097</v>
      </c>
    </row>
    <row r="1936" spans="1:1" x14ac:dyDescent="0.2">
      <c r="A1936" t="s">
        <v>4098</v>
      </c>
    </row>
    <row r="1937" spans="1:1" x14ac:dyDescent="0.2">
      <c r="A1937" t="s">
        <v>4099</v>
      </c>
    </row>
    <row r="1938" spans="1:1" x14ac:dyDescent="0.2">
      <c r="A1938" t="s">
        <v>4100</v>
      </c>
    </row>
    <row r="1939" spans="1:1" x14ac:dyDescent="0.2">
      <c r="A1939" t="s">
        <v>4101</v>
      </c>
    </row>
    <row r="1940" spans="1:1" x14ac:dyDescent="0.2">
      <c r="A1940" t="s">
        <v>4102</v>
      </c>
    </row>
    <row r="1941" spans="1:1" x14ac:dyDescent="0.2">
      <c r="A1941" t="s">
        <v>4103</v>
      </c>
    </row>
    <row r="1942" spans="1:1" x14ac:dyDescent="0.2">
      <c r="A1942" t="s">
        <v>4104</v>
      </c>
    </row>
    <row r="1943" spans="1:1" x14ac:dyDescent="0.2">
      <c r="A1943" t="s">
        <v>4105</v>
      </c>
    </row>
    <row r="1944" spans="1:1" x14ac:dyDescent="0.2">
      <c r="A1944" t="s">
        <v>4106</v>
      </c>
    </row>
    <row r="1945" spans="1:1" x14ac:dyDescent="0.2">
      <c r="A1945" t="s">
        <v>4107</v>
      </c>
    </row>
    <row r="1946" spans="1:1" x14ac:dyDescent="0.2">
      <c r="A1946" t="s">
        <v>4108</v>
      </c>
    </row>
    <row r="1947" spans="1:1" x14ac:dyDescent="0.2">
      <c r="A1947" t="s">
        <v>4109</v>
      </c>
    </row>
    <row r="1948" spans="1:1" x14ac:dyDescent="0.2">
      <c r="A1948" t="s">
        <v>4110</v>
      </c>
    </row>
    <row r="1949" spans="1:1" x14ac:dyDescent="0.2">
      <c r="A1949" t="s">
        <v>4111</v>
      </c>
    </row>
    <row r="1950" spans="1:1" x14ac:dyDescent="0.2">
      <c r="A1950" t="s">
        <v>4112</v>
      </c>
    </row>
    <row r="1951" spans="1:1" x14ac:dyDescent="0.2">
      <c r="A1951" t="s">
        <v>4113</v>
      </c>
    </row>
    <row r="1952" spans="1:1" x14ac:dyDescent="0.2">
      <c r="A1952" t="s">
        <v>4114</v>
      </c>
    </row>
    <row r="1953" spans="1:1" x14ac:dyDescent="0.2">
      <c r="A1953" t="s">
        <v>4115</v>
      </c>
    </row>
    <row r="1954" spans="1:1" x14ac:dyDescent="0.2">
      <c r="A1954" t="s">
        <v>4116</v>
      </c>
    </row>
    <row r="1955" spans="1:1" x14ac:dyDescent="0.2">
      <c r="A1955" t="s">
        <v>4117</v>
      </c>
    </row>
    <row r="1956" spans="1:1" x14ac:dyDescent="0.2">
      <c r="A1956" t="s">
        <v>4118</v>
      </c>
    </row>
    <row r="1957" spans="1:1" x14ac:dyDescent="0.2">
      <c r="A1957" t="s">
        <v>4119</v>
      </c>
    </row>
    <row r="1958" spans="1:1" x14ac:dyDescent="0.2">
      <c r="A1958" t="s">
        <v>4120</v>
      </c>
    </row>
    <row r="1959" spans="1:1" x14ac:dyDescent="0.2">
      <c r="A1959" t="s">
        <v>4121</v>
      </c>
    </row>
    <row r="1960" spans="1:1" x14ac:dyDescent="0.2">
      <c r="A1960" t="s">
        <v>4122</v>
      </c>
    </row>
    <row r="1961" spans="1:1" x14ac:dyDescent="0.2">
      <c r="A1961" t="s">
        <v>4123</v>
      </c>
    </row>
    <row r="1962" spans="1:1" x14ac:dyDescent="0.2">
      <c r="A1962" t="s">
        <v>4124</v>
      </c>
    </row>
    <row r="1963" spans="1:1" x14ac:dyDescent="0.2">
      <c r="A1963" t="s">
        <v>4125</v>
      </c>
    </row>
    <row r="1964" spans="1:1" x14ac:dyDescent="0.2">
      <c r="A1964" t="s">
        <v>4126</v>
      </c>
    </row>
    <row r="1965" spans="1:1" x14ac:dyDescent="0.2">
      <c r="A1965" t="s">
        <v>4127</v>
      </c>
    </row>
    <row r="1966" spans="1:1" x14ac:dyDescent="0.2">
      <c r="A1966" t="s">
        <v>4128</v>
      </c>
    </row>
    <row r="1967" spans="1:1" x14ac:dyDescent="0.2">
      <c r="A1967" t="s">
        <v>4129</v>
      </c>
    </row>
    <row r="1968" spans="1:1" x14ac:dyDescent="0.2">
      <c r="A1968" t="s">
        <v>4130</v>
      </c>
    </row>
    <row r="1969" spans="1:1" x14ac:dyDescent="0.2">
      <c r="A1969" t="s">
        <v>4131</v>
      </c>
    </row>
    <row r="1970" spans="1:1" x14ac:dyDescent="0.2">
      <c r="A1970" t="s">
        <v>4132</v>
      </c>
    </row>
    <row r="1971" spans="1:1" x14ac:dyDescent="0.2">
      <c r="A1971" t="s">
        <v>4133</v>
      </c>
    </row>
    <row r="1972" spans="1:1" x14ac:dyDescent="0.2">
      <c r="A1972" t="s">
        <v>4134</v>
      </c>
    </row>
    <row r="1973" spans="1:1" x14ac:dyDescent="0.2">
      <c r="A1973" t="s">
        <v>4135</v>
      </c>
    </row>
    <row r="1974" spans="1:1" x14ac:dyDescent="0.2">
      <c r="A1974" t="s">
        <v>4136</v>
      </c>
    </row>
    <row r="1975" spans="1:1" x14ac:dyDescent="0.2">
      <c r="A1975" t="s">
        <v>4137</v>
      </c>
    </row>
    <row r="1976" spans="1:1" x14ac:dyDescent="0.2">
      <c r="A1976" t="s">
        <v>4138</v>
      </c>
    </row>
    <row r="1977" spans="1:1" x14ac:dyDescent="0.2">
      <c r="A1977" t="s">
        <v>4139</v>
      </c>
    </row>
    <row r="1978" spans="1:1" x14ac:dyDescent="0.2">
      <c r="A1978" t="s">
        <v>4140</v>
      </c>
    </row>
    <row r="1979" spans="1:1" x14ac:dyDescent="0.2">
      <c r="A1979" t="s">
        <v>4141</v>
      </c>
    </row>
    <row r="1980" spans="1:1" x14ac:dyDescent="0.2">
      <c r="A1980" t="s">
        <v>4142</v>
      </c>
    </row>
    <row r="1981" spans="1:1" x14ac:dyDescent="0.2">
      <c r="A1981" t="s">
        <v>4143</v>
      </c>
    </row>
    <row r="1982" spans="1:1" x14ac:dyDescent="0.2">
      <c r="A1982" t="s">
        <v>4144</v>
      </c>
    </row>
    <row r="1983" spans="1:1" x14ac:dyDescent="0.2">
      <c r="A1983" t="s">
        <v>4145</v>
      </c>
    </row>
    <row r="1984" spans="1:1" x14ac:dyDescent="0.2">
      <c r="A1984" t="s">
        <v>4146</v>
      </c>
    </row>
    <row r="1985" spans="1:1" x14ac:dyDescent="0.2">
      <c r="A1985" t="s">
        <v>4147</v>
      </c>
    </row>
    <row r="1986" spans="1:1" x14ac:dyDescent="0.2">
      <c r="A1986" t="s">
        <v>4148</v>
      </c>
    </row>
    <row r="1987" spans="1:1" x14ac:dyDescent="0.2">
      <c r="A1987" t="s">
        <v>4149</v>
      </c>
    </row>
    <row r="1988" spans="1:1" x14ac:dyDescent="0.2">
      <c r="A1988" t="s">
        <v>4150</v>
      </c>
    </row>
    <row r="1989" spans="1:1" x14ac:dyDescent="0.2">
      <c r="A1989" t="s">
        <v>4151</v>
      </c>
    </row>
    <row r="1990" spans="1:1" x14ac:dyDescent="0.2">
      <c r="A1990" t="s">
        <v>4152</v>
      </c>
    </row>
    <row r="1991" spans="1:1" x14ac:dyDescent="0.2">
      <c r="A1991" t="s">
        <v>4153</v>
      </c>
    </row>
    <row r="1992" spans="1:1" x14ac:dyDescent="0.2">
      <c r="A1992" t="s">
        <v>4154</v>
      </c>
    </row>
    <row r="1993" spans="1:1" x14ac:dyDescent="0.2">
      <c r="A1993" t="s">
        <v>4155</v>
      </c>
    </row>
    <row r="1994" spans="1:1" x14ac:dyDescent="0.2">
      <c r="A1994" t="s">
        <v>4156</v>
      </c>
    </row>
    <row r="1995" spans="1:1" x14ac:dyDescent="0.2">
      <c r="A1995" t="s">
        <v>4157</v>
      </c>
    </row>
    <row r="1996" spans="1:1" x14ac:dyDescent="0.2">
      <c r="A1996" t="s">
        <v>4158</v>
      </c>
    </row>
    <row r="1997" spans="1:1" x14ac:dyDescent="0.2">
      <c r="A1997" t="s">
        <v>4159</v>
      </c>
    </row>
    <row r="1998" spans="1:1" x14ac:dyDescent="0.2">
      <c r="A1998" t="s">
        <v>4160</v>
      </c>
    </row>
    <row r="1999" spans="1:1" x14ac:dyDescent="0.2">
      <c r="A1999" t="s">
        <v>4161</v>
      </c>
    </row>
    <row r="2000" spans="1:1" x14ac:dyDescent="0.2">
      <c r="A2000" t="s">
        <v>4162</v>
      </c>
    </row>
    <row r="2001" spans="1:1" x14ac:dyDescent="0.2">
      <c r="A2001" t="s">
        <v>4163</v>
      </c>
    </row>
    <row r="2002" spans="1:1" x14ac:dyDescent="0.2">
      <c r="A2002" t="s">
        <v>4164</v>
      </c>
    </row>
    <row r="2003" spans="1:1" x14ac:dyDescent="0.2">
      <c r="A2003" t="s">
        <v>4165</v>
      </c>
    </row>
    <row r="2004" spans="1:1" x14ac:dyDescent="0.2">
      <c r="A2004" t="s">
        <v>4166</v>
      </c>
    </row>
    <row r="2005" spans="1:1" x14ac:dyDescent="0.2">
      <c r="A2005" t="s">
        <v>4167</v>
      </c>
    </row>
    <row r="2006" spans="1:1" x14ac:dyDescent="0.2">
      <c r="A2006" t="s">
        <v>4168</v>
      </c>
    </row>
    <row r="2007" spans="1:1" x14ac:dyDescent="0.2">
      <c r="A2007" t="s">
        <v>4169</v>
      </c>
    </row>
    <row r="2008" spans="1:1" x14ac:dyDescent="0.2">
      <c r="A2008" t="s">
        <v>4170</v>
      </c>
    </row>
    <row r="2009" spans="1:1" x14ac:dyDescent="0.2">
      <c r="A2009" t="s">
        <v>4171</v>
      </c>
    </row>
    <row r="2010" spans="1:1" x14ac:dyDescent="0.2">
      <c r="A2010" t="s">
        <v>4172</v>
      </c>
    </row>
    <row r="2011" spans="1:1" x14ac:dyDescent="0.2">
      <c r="A2011" t="s">
        <v>4173</v>
      </c>
    </row>
    <row r="2012" spans="1:1" x14ac:dyDescent="0.2">
      <c r="A2012" t="s">
        <v>4174</v>
      </c>
    </row>
    <row r="2013" spans="1:1" x14ac:dyDescent="0.2">
      <c r="A2013" t="s">
        <v>4175</v>
      </c>
    </row>
    <row r="2014" spans="1:1" x14ac:dyDescent="0.2">
      <c r="A2014" t="s">
        <v>4176</v>
      </c>
    </row>
    <row r="2015" spans="1:1" x14ac:dyDescent="0.2">
      <c r="A2015" t="s">
        <v>4177</v>
      </c>
    </row>
    <row r="2016" spans="1:1" x14ac:dyDescent="0.2">
      <c r="A2016" t="s">
        <v>4178</v>
      </c>
    </row>
    <row r="2017" spans="1:1" x14ac:dyDescent="0.2">
      <c r="A2017" t="s">
        <v>4179</v>
      </c>
    </row>
    <row r="2018" spans="1:1" x14ac:dyDescent="0.2">
      <c r="A2018" t="s">
        <v>4180</v>
      </c>
    </row>
    <row r="2019" spans="1:1" x14ac:dyDescent="0.2">
      <c r="A2019" t="s">
        <v>4181</v>
      </c>
    </row>
    <row r="2020" spans="1:1" x14ac:dyDescent="0.2">
      <c r="A2020" t="s">
        <v>4182</v>
      </c>
    </row>
    <row r="2021" spans="1:1" x14ac:dyDescent="0.2">
      <c r="A2021" t="s">
        <v>4183</v>
      </c>
    </row>
    <row r="2022" spans="1:1" x14ac:dyDescent="0.2">
      <c r="A2022" t="s">
        <v>4184</v>
      </c>
    </row>
    <row r="2023" spans="1:1" x14ac:dyDescent="0.2">
      <c r="A2023" t="s">
        <v>4185</v>
      </c>
    </row>
    <row r="2024" spans="1:1" x14ac:dyDescent="0.2">
      <c r="A2024" t="s">
        <v>4186</v>
      </c>
    </row>
    <row r="2025" spans="1:1" x14ac:dyDescent="0.2">
      <c r="A2025" t="s">
        <v>4187</v>
      </c>
    </row>
    <row r="2026" spans="1:1" x14ac:dyDescent="0.2">
      <c r="A2026" t="s">
        <v>4188</v>
      </c>
    </row>
    <row r="2027" spans="1:1" x14ac:dyDescent="0.2">
      <c r="A2027" t="s">
        <v>4189</v>
      </c>
    </row>
    <row r="2028" spans="1:1" x14ac:dyDescent="0.2">
      <c r="A2028" t="s">
        <v>4190</v>
      </c>
    </row>
    <row r="2029" spans="1:1" x14ac:dyDescent="0.2">
      <c r="A2029" t="s">
        <v>4191</v>
      </c>
    </row>
    <row r="2030" spans="1:1" x14ac:dyDescent="0.2">
      <c r="A2030" t="s">
        <v>4192</v>
      </c>
    </row>
    <row r="2031" spans="1:1" x14ac:dyDescent="0.2">
      <c r="A2031" t="s">
        <v>4193</v>
      </c>
    </row>
    <row r="2032" spans="1:1" x14ac:dyDescent="0.2">
      <c r="A2032" t="s">
        <v>4194</v>
      </c>
    </row>
    <row r="2033" spans="1:1" x14ac:dyDescent="0.2">
      <c r="A2033" t="s">
        <v>4195</v>
      </c>
    </row>
    <row r="2034" spans="1:1" x14ac:dyDescent="0.2">
      <c r="A2034" t="s">
        <v>4196</v>
      </c>
    </row>
    <row r="2035" spans="1:1" x14ac:dyDescent="0.2">
      <c r="A2035" t="s">
        <v>4197</v>
      </c>
    </row>
    <row r="2036" spans="1:1" x14ac:dyDescent="0.2">
      <c r="A2036" t="s">
        <v>4198</v>
      </c>
    </row>
    <row r="2037" spans="1:1" x14ac:dyDescent="0.2">
      <c r="A2037" t="s">
        <v>4199</v>
      </c>
    </row>
    <row r="2038" spans="1:1" x14ac:dyDescent="0.2">
      <c r="A2038" t="s">
        <v>4200</v>
      </c>
    </row>
    <row r="2039" spans="1:1" x14ac:dyDescent="0.2">
      <c r="A2039" t="s">
        <v>4201</v>
      </c>
    </row>
    <row r="2040" spans="1:1" x14ac:dyDescent="0.2">
      <c r="A2040" t="s">
        <v>4202</v>
      </c>
    </row>
    <row r="2041" spans="1:1" x14ac:dyDescent="0.2">
      <c r="A2041" t="s">
        <v>4203</v>
      </c>
    </row>
    <row r="2042" spans="1:1" x14ac:dyDescent="0.2">
      <c r="A2042" t="s">
        <v>4204</v>
      </c>
    </row>
    <row r="2043" spans="1:1" x14ac:dyDescent="0.2">
      <c r="A2043" t="s">
        <v>4205</v>
      </c>
    </row>
    <row r="2044" spans="1:1" x14ac:dyDescent="0.2">
      <c r="A2044" t="s">
        <v>4206</v>
      </c>
    </row>
    <row r="2045" spans="1:1" x14ac:dyDescent="0.2">
      <c r="A2045" t="s">
        <v>4207</v>
      </c>
    </row>
    <row r="2046" spans="1:1" x14ac:dyDescent="0.2">
      <c r="A2046" t="s">
        <v>4208</v>
      </c>
    </row>
    <row r="2047" spans="1:1" x14ac:dyDescent="0.2">
      <c r="A2047" t="s">
        <v>4209</v>
      </c>
    </row>
    <row r="2048" spans="1:1" x14ac:dyDescent="0.2">
      <c r="A2048" t="s">
        <v>4210</v>
      </c>
    </row>
    <row r="2049" spans="1:1" x14ac:dyDescent="0.2">
      <c r="A2049" t="s">
        <v>4211</v>
      </c>
    </row>
    <row r="2050" spans="1:1" x14ac:dyDescent="0.2">
      <c r="A2050" t="s">
        <v>4212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InsertMainMen_click">
                <anchor moveWithCells="1" sizeWithCells="1">
                  <from>
                    <xdr:col>0</xdr:col>
                    <xdr:colOff>85725</xdr:colOff>
                    <xdr:row>30</xdr:row>
                    <xdr:rowOff>76200</xdr:rowOff>
                  </from>
                  <to>
                    <xdr:col>2</xdr:col>
                    <xdr:colOff>647700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InsertCustomMen_click">
                <anchor moveWithCells="1" sizeWithCells="1">
                  <from>
                    <xdr:col>2</xdr:col>
                    <xdr:colOff>695325</xdr:colOff>
                    <xdr:row>30</xdr:row>
                    <xdr:rowOff>66675</xdr:rowOff>
                  </from>
                  <to>
                    <xdr:col>7</xdr:col>
                    <xdr:colOff>57150</xdr:colOff>
                    <xdr:row>32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C13"/>
  <sheetViews>
    <sheetView workbookViewId="0">
      <selection activeCell="F5" sqref="F5"/>
    </sheetView>
  </sheetViews>
  <sheetFormatPr defaultRowHeight="12.75" x14ac:dyDescent="0.2"/>
  <cols>
    <col min="1" max="1" width="12.7109375" bestFit="1" customWidth="1"/>
    <col min="2" max="2" width="9.7109375" bestFit="1" customWidth="1"/>
  </cols>
  <sheetData>
    <row r="1" spans="1:3" x14ac:dyDescent="0.2">
      <c r="A1" s="4" t="s">
        <v>26</v>
      </c>
    </row>
    <row r="2" spans="1:3" x14ac:dyDescent="0.2">
      <c r="A2" s="3" t="s">
        <v>23</v>
      </c>
      <c r="B2" s="1">
        <v>56</v>
      </c>
    </row>
    <row r="3" spans="1:3" x14ac:dyDescent="0.2">
      <c r="A3" s="3" t="s">
        <v>73</v>
      </c>
      <c r="B3" s="1">
        <v>0</v>
      </c>
      <c r="C3" s="3" t="str">
        <f>IF(B3=0,"Female","Male")</f>
        <v>Female</v>
      </c>
    </row>
    <row r="4" spans="1:3" x14ac:dyDescent="0.2">
      <c r="A4" s="3" t="s">
        <v>24</v>
      </c>
      <c r="B4" s="2" t="s">
        <v>178</v>
      </c>
    </row>
    <row r="5" spans="1:3" x14ac:dyDescent="0.2">
      <c r="A5" s="3" t="s">
        <v>25</v>
      </c>
      <c r="B5" s="3" t="e">
        <f>Agestandard(B4,B3)</f>
        <v>#VALUE!</v>
      </c>
    </row>
    <row r="6" spans="1:3" x14ac:dyDescent="0.2">
      <c r="A6" s="3" t="s">
        <v>74</v>
      </c>
      <c r="B6" s="3" t="e">
        <f>AgeFactor(B4,B2,B3)</f>
        <v>#VALUE!</v>
      </c>
    </row>
    <row r="8" spans="1:3" x14ac:dyDescent="0.2">
      <c r="A8" s="3" t="s">
        <v>20</v>
      </c>
      <c r="B8" s="1">
        <v>6.2</v>
      </c>
    </row>
    <row r="9" spans="1:3" x14ac:dyDescent="0.2">
      <c r="A9" s="5" t="s">
        <v>48</v>
      </c>
      <c r="B9" s="1">
        <v>1600</v>
      </c>
    </row>
    <row r="10" spans="1:3" x14ac:dyDescent="0.2">
      <c r="A10" s="3" t="s">
        <v>25</v>
      </c>
      <c r="B10" s="6" t="e">
        <f>IAgeStandard(B8,B3)</f>
        <v>#VALUE!</v>
      </c>
    </row>
    <row r="11" spans="1:3" x14ac:dyDescent="0.2">
      <c r="A11" s="3" t="s">
        <v>74</v>
      </c>
      <c r="B11" s="8" t="e">
        <f>IAgeFactor(B8,B2,B3)</f>
        <v>#VALUE!</v>
      </c>
    </row>
    <row r="12" spans="1:3" x14ac:dyDescent="0.2">
      <c r="A12" s="3" t="s">
        <v>27</v>
      </c>
      <c r="B12" s="6" t="e">
        <f>dist_wrecs(B8,B2,B3)</f>
        <v>#VALUE!</v>
      </c>
    </row>
    <row r="13" spans="1:3" x14ac:dyDescent="0.2">
      <c r="A13" s="5" t="s">
        <v>47</v>
      </c>
      <c r="B13" s="7" t="e">
        <f>PWWRSpeed(B8,B9,B2,B3)</f>
        <v>#VALUE!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Female</vt:lpstr>
      <vt:lpstr>Male</vt:lpstr>
      <vt:lpstr>Example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Grubb</dc:creator>
  <cp:lastModifiedBy>Deborah Bruce</cp:lastModifiedBy>
  <cp:lastPrinted>2006-05-04T00:26:32Z</cp:lastPrinted>
  <dcterms:created xsi:type="dcterms:W3CDTF">2006-04-14T23:14:40Z</dcterms:created>
  <dcterms:modified xsi:type="dcterms:W3CDTF">2021-05-10T08:58:35Z</dcterms:modified>
</cp:coreProperties>
</file>